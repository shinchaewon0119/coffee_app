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inchaewon\Desktop\졸프 2\코딩\data\"/>
    </mc:Choice>
  </mc:AlternateContent>
  <xr:revisionPtr revIDLastSave="0" documentId="13_ncr:1_{2F767B0F-DC5C-4E0A-8790-BD6812BBC0A8}" xr6:coauthVersionLast="47" xr6:coauthVersionMax="47" xr10:uidLastSave="{00000000-0000-0000-0000-000000000000}"/>
  <bookViews>
    <workbookView xWindow="-432" yWindow="1620" windowWidth="10920" windowHeight="1028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E6rwmL+fL5fao2wP3YbkEoC1RR08rF8y6CVmoz1PRg4="/>
    </ext>
  </extLst>
</workbook>
</file>

<file path=xl/calcChain.xml><?xml version="1.0" encoding="utf-8"?>
<calcChain xmlns="http://schemas.openxmlformats.org/spreadsheetml/2006/main">
  <c r="Q60" i="1" l="1"/>
  <c r="O60" i="1"/>
  <c r="N60" i="1"/>
  <c r="Q59" i="1"/>
  <c r="O59" i="1"/>
  <c r="N59" i="1"/>
  <c r="Q58" i="1"/>
  <c r="O58" i="1"/>
  <c r="N58" i="1"/>
  <c r="Q57" i="1"/>
  <c r="O57" i="1"/>
  <c r="N57" i="1"/>
  <c r="Q56" i="1"/>
  <c r="O56" i="1"/>
  <c r="N56" i="1"/>
</calcChain>
</file>

<file path=xl/sharedStrings.xml><?xml version="1.0" encoding="utf-8"?>
<sst xmlns="http://schemas.openxmlformats.org/spreadsheetml/2006/main" count="1000" uniqueCount="523">
  <si>
    <t>bean_name</t>
  </si>
  <si>
    <t>brand_name</t>
  </si>
  <si>
    <t>capacity_g</t>
  </si>
  <si>
    <t>price</t>
  </si>
  <si>
    <t>image_url</t>
  </si>
  <si>
    <t>flavor_notes</t>
  </si>
  <si>
    <t>product_detail</t>
  </si>
  <si>
    <t>review_summary</t>
  </si>
  <si>
    <t>decaf</t>
  </si>
  <si>
    <t>blend_type</t>
  </si>
  <si>
    <t>acidity</t>
  </si>
  <si>
    <t>balance</t>
  </si>
  <si>
    <t>bitter</t>
  </si>
  <si>
    <t>body</t>
  </si>
  <si>
    <t>sweet</t>
  </si>
  <si>
    <t>flavor</t>
  </si>
  <si>
    <t>상품명:과테말라 안티구아 SHB 산미없는 고소한 당일로스팅 커피 원두홀빈 200g</t>
  </si>
  <si>
    <t>커피그대로</t>
  </si>
  <si>
    <t>200g</t>
  </si>
  <si>
    <t>판매가:9,000원</t>
  </si>
  <si>
    <t>https://www.coffeegdero.com/web/product/medium/202309/94b86104f7ff5939abf636c6c7c1a14d.jpg</t>
  </si>
  <si>
    <t>다크초콜릿, 구운빵, 캐라멜, 갈색설탕, 호두, 스모키, 코코넛, 은은한 산미, 달콤 깔끔한 마무리, 묵직한 바디</t>
  </si>
  <si>
    <t>상세정보 반품/교환정보 리뷰 (7,102) 상품Q&amp;A (1)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과테말라 안티구아 SHB 산미없는 갓볶은 당일로스팅 커피 원두 200g 500g 1kg 활화산의 강인함을 담은 스모키커피 과테말라 안티구아 SHB 활화산 후에고가 제공하는 미네랄과 무기질을 머금은 안띠구아는 고소한 호두를 넣은 진한 다크초콜릿 같아 단맛이 그야말로 일품입니다. 그래서인지 한국인에게 매우 많은 사랑을 받는 커피입니다. 정말 그 지역의 풍토가 커피에 그대로 담겨 부드럽고 소박하지만 그 안의 강인함은 매우 매력적인 커피입니다. ㅡ 활화산의 스모키, 고소하고 진한 다크초콜릿, 묵직한 바디감 ㅡ 커핑노트 다크초콜릿, 구운빵, 캐라멜, 갈색설탕, 호두, 스모키, 코코넛, 은은한 산미, 달콤 깔끔한 마무리, 묵직한 바디 생산지역 : Guatemala Antigua / 재배고도 : 1,700m 품종 : Caturra Bourbon / 재배시기 : 11~4월 / 가공방식 : Washed ㅡ 과테말라 커피 등급 S H B 과테말라 커피는 재배고도와 함께 결점두의 개수를 기준으로 등급을 구분합니다. 아래 표와 같이, 높은 고도에서 재배된 생두가 높은 등급을 받게 되는데, 이것은 생두의 재배 기간과 연관이 있습니다. 고도가 높은 지역 일수록 낮과 밤의 기온차이가 커지고, 생두가 하루에 성장하는 속도는 기온차이가 적은 저지대 보다 상대적으로 느려지게 됩니다. 따라서, 생두 재배 기간은 그만큼 늘어나게 되고, 천천히 오랫동안 성장하면서 풍부한 일조량과 영양분을 흡수하기 때문에 더 좋은 등급의 커피가 생산되게 됩니다. 따라서 과테말라 커피는 스크린사이즈가 크다고 등급이 높은것이 아닌 것입니다. ㅡ 과테말라 안티구아 로스팅 포인트 커피그대로는 과테말라 안티구아를 약간 다크하게 로스팅 했습니다. 사실 조금 덜 볶아도 그 맛과 향은 뛰어나지만 묵직한 바디감의 단맛을 가진 스모크커피를 구현하는것이 안티구아의 매력이라 생각했습니다. * 약배전, 빠른속도 = (산미)신맛, 콩향 증가 * 강배전, 느린속도 = 쓴맛, 단맛, 바디감 증가 ★ 서로 상대적입니다. 산미(신맛)이 증가하면 바디감 쓴맛이 줄고, 바디감이 증가하면, 산미(신맛)과 콩향이 줄어듭니다. ㅡ 화산의 나라 과테말라 1750년 과테말라에 유입된 선교사들에 의해 처음 소개된 후, 1821년 스페인 식민지에서 독립하며 활발히 이주해왔던 독일 이주민들에 의해 정식산업으로 발전했습니다. 과테말라는 2000년 이후 스페셜티 커피 시장을 이끌며 성장하기 시작했으며, 현재 전체 인구의 1/4이 커피산업에 종사하고 있고 수출품목의 1/3이상을 커피가 차지하고 있는 등 과테말라의 주요 국가산업으로 자리 잡았습니다. 과테말라 커피는 지역에 따라서 맛의 차이가 있지만 과일향과 스모키한 향미를 보여주는 경우가 많은데, 그 중 스모키한 맛과 향은 과테말라의 화산토양으로 인한 것입니다. 과테말라의 태평양 연안에는 무려 33개의 화산이 있으며, 활발한 화산 활동으로 축척된 풍부한 유,무기질의 토양으로 고품질의 커피재배에 좋은 환경을 갖추고 있습니다. 분쇄선택 교환 및 반품 안내 주문 후 바로 로스팅하는 방식이므로 고객님의 주문실수, 단순변심 으로 인한 교환 및 반품이 불가 하오니 양해 부탁드립니다. 커피그대로는 과테말라 안티구아를 약간 다크하게 로스팅 했습니다.
사실 조금 덜 볶아도 그 맛과 향은 뛰어나지만 묵직한 바디감의 단맛을 가진 스모크커피를 구현하는것이 안티구아의 매력이라 생각했습니다.</t>
  </si>
  <si>
    <t>Caturra Bourbon /</t>
  </si>
  <si>
    <t>Washed</t>
  </si>
  <si>
    <t xml:space="preserve"> 리뷰 로 보는 활용 가이드 이 커피는 고소한 향과 묵직한 바디감이 돋보입니다. 신선한 원두로 인한 풍부한 향이 사용자들에게 사랑받고 있습니다. 고소한 향 묵직한 바디감 신선한 원두 풍부한 향 사용자 유형 — 고소한 커피향과 묵직한 맛을 선호하는 커피 애호가 구매 이유 — 신선하고 고소한 커피를 찾기 위해 활용 방식 — 아침에 방문 손님에게 제공하거나 개인적으로 즐김 사용 시점 — 아침 시간이나 손님 방문 시 위 내용은 구매자들의 후기를 바탕으로 요약되었습니다.</t>
  </si>
  <si>
    <t>single_origin</t>
  </si>
  <si>
    <t>상품명:에티오피아 코케허니 예가체프 G1 스페셜티 당일로스팅 커피 원두홀빈 200g</t>
  </si>
  <si>
    <t>판매가:11,800원</t>
  </si>
  <si>
    <t>https://www.coffeegdero.com/web/product/medium/202309/9f95377106ae2f79fa4515fed6305175.jpg</t>
  </si>
  <si>
    <t>포도, 꿀, 오렌지, 초콜릿, 자스민 / 달콤한 산미, 부드러운 촉감, 부드러운 바디</t>
  </si>
  <si>
    <t>상세정보 반품/교환정보 리뷰 (6,903) 상품Q&amp;A (2)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에티오피아 코케허니 예가체프 G1 스페셜티 당일로스팅 커피 원두 200g 500g 1kg 2010년 SCAA에서 로스터들이 선택한 커피부문 1위 코케 허니 Koke라는 이름은 코케 허니의 주 생산지인 에티오피아 예가체프 북동부에 위치한 작은 마을 이름이다. Honey는 가공방식 중 하나인 허니 프로세스를 뜻한다. 허니 프로세스는 함께 자연건조하는 과정으로 진행되는데, 이 때 단맛이 생긴다. 커피체리의 당도를 체크한 뒤 완전히 익은 체리만을 수확하는 방식이기 때문에 특유의 단맛과 감칠맛을 지니게 된다. 그래서인지, 한국인이 매우 좋아하는 커피중 하나이다. 2010년 SCAA에서 로스터들이 선택한 커피부문 1위 를 차지하기도 하였다. 에티오피아 코케허니의 허니 프로세싱 과정 ㅡ 허니 프로세싱의 달콤함, 강한 산미의 부드러운 바디감 ㅡ 커핑노트 포도, 꿀, 오렌지, 초콜릿, 자스민 / 달콤한 산미, 부드러운 촉감, 부드러운 바디 에티오피아 코케 생산지역 : Ethiopia Yirgacheffe / 재배고도 : 1,900m 품종 : Heirloom / 재배시기 : 1월 / 가공방식 : Honey ㅡ 에티오피아 코케 허니 커피 등급 G 1 . S p e c i a l t y 에티오피아의 커피 등급은 ECX 품질등급과 수출등급 두 가지 과정을 거쳐 분류된다. ECX(Ethiopia Commodity Exchange)는 에티오피아 현지에 지역별로 있는 농산물 선물거래소로, 생두 모양/크기 등 외관과 클리컵/산미/향/바디까지 따져 1차 커핑 점수를 매긴 후, 71점 이상(G3이상)이면 스페셜티 분류를 위해 2차 커핑을 다시 실시한다. 그 후 본사 ECX에서 진행하는 경매를 거쳐, 수출되기 전 CQIC(Coffee Quality Inspection Center)에서 수출을 위한 등급이 매겨진다. 우리가 흔히 알고 있는 등급은 CQIC에서 부여한 수출등급이며, 결점두의 포함정도를 축정해 등급을 구분한다. 에티오피아의 커피 등급은 생두 300g 당 결점두(defect)의 수에 따라 8등급으로 나뉜다. 결점두는 생두의 재배나 가공과정에서 생긴 비정상적 생두로, 커피의 품질을 떨어뜨린다. ㅡ 코케 허니 로스팅 포인트 커피그대로는 코 케허니를 약배전으로 빠르게 로스팅합니다. 따라서 신맛, 콩향이 높아지고 쓴맛 바디감이 약해집니다. * 약배전, 빠른속도 = (산미)신맛, 콩향 증가 * 강배전, 느린속도 = 쓴맛, 단맛, 바디감 증가 ★ 서로 상대적입니다. 산미(신맛)이 증가하면 바디감 쓴맛이 줄고, 바디감이 증가하면, 산미(신맛)과 콩향이 줄어듭니다. 코케허니는 빠른로스팅에도 불구하고 우수한 콩의 품질과 허니 프로세싱으로 단맛이 좋다. ㅡ 에티오피아를 커피의 고향이라고 하는 이유 .. 커피의 시작은 6~7세기경 에티오피아의 칼디(Kaldi)라는 목동에 의해 처음 발견되었다고 알려져 있다. 이것은 이른바 ‘칼디의 전설’이라 불리는 이야기로 별다른 이견 없이 정설로 받아들여지고 있다. 염소들이 빨간 열매(berry)를 따 먹고 흥분하여 뛰어다니는 광경을 목격한 칼디는 자신도 이 열매를 먹어보게 되었고, 그 결과 머리가 맑아지고 기분이 좋아지고 졸음을 방지하는 등 수양에 도움이 되는 신비의 열매로 알려지면서 커피는 여러 사원으로 퍼져 나갔고 이슬람 세력의 확장과 더불어 커피는 전 세계로 퍼져 나가게 되었다. Kaldi, Dancing Goats and the Discovery of the Coffee Bean ㅡ 에티오피아 예가체프(Yirgacheffe)가 유명한 이유.. 예가체프는 에티오피아 남부 SNNP(South Nations Nationalities and People)지역 내, 게데오존(Gedeo Zone)에 위치한 마을 입니다. 예가체프, 코케, 아리차, 콩가와 같이 국내 소비자들에게 널리 알려진 고급 스페셜티 커피들이 생산되는 지역이며 특히, 예가체프는 ‘커피의 귀부인’이라는 애칭이 붙을 정도로 세련된 꽃 향기와 달콤하면서 기분 좋은 산미, 부드러운 바디감으로 널리 사랑 받고 있다. 대부분의 지역이 해발고도 1,800m 이상의 고지대이며, 비옥한 적색토양과 따뜻한 날씨 덕분에 커피재배에 훌륭한 조건을 갖추고 있고, 대부분의 농장은 전통적인 방법을 고수하며 가족단위로 운영되고 있다. 예가체프는 콩의 모양이 일정치 않습니다. 예가체프는 병충해에 빈약하여 강한 농약을 사용할 수 없다. 대부분 사람손이 많이 타며 그로인해 자연커피 그 자체이다. 간 혹 예가체프의 콩이 크고 작고 비틀어졌다하여 좋지 않은 콩이라 착각하는 분들도 계신데, 이는 자연농법으로만 재배하기에 크기나 모양이 일정치 않은것이다. 분쇄선택 교환 및 반품 안내 주문 후 바로 로스팅하는 방식이므로 고객님의 주문실수, 단순변심 으로 인한 교환 및 반품이 불가 하오니 양해 부탁드립니다.</t>
  </si>
  <si>
    <t>Ethiopia Yirgacheffe /</t>
  </si>
  <si>
    <t>Heirloom /</t>
  </si>
  <si>
    <t>Honey</t>
  </si>
  <si>
    <t>리뷰 로 보는 활용 가이드 이 커피는 과일향과 산미가 조화를 이뤄 풍부한 맛을 제공합니다. 산미를 선호하는 사용자들로부터 높은 평가를 받고 있습니다. 과일향 산미 풍부한 맛 부드러움 사용자 유형 — 산미를 즐기는 커피 애호가 구매 이유 — 산미와 향이 뛰어난 커피를 찾기 위해 활용 방식 — 여러 번 재구매하여 일상적으로 소비 사용 시점 — 매일 아침 커피로 즐기기에 적합 위 내용은 구매자들의 후기를 바탕으로 요약되었습니다.</t>
  </si>
  <si>
    <t>상품명:100 아라비카 블렌딩 롱로이 당일로스팅 커피 원두홀빈 200g</t>
  </si>
  <si>
    <t>판매가:9,300원</t>
  </si>
  <si>
    <t>https://www.coffeegdero.com/web/product/medium/202309/6fdd36f5f8d7c40b6ff3634bf1fcd782.jpg</t>
  </si>
  <si>
    <t>다크초콜릿, 사과, 우유, 파인애플 / 긴 후미, 묵직한 바디감, 깔끔한 후미</t>
  </si>
  <si>
    <t xml:space="preserve">상세정보 반품/교환정보 리뷰 (4,204) 상품Q&amp;A (2)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100%아라비카 블렌딩 롱로이(신맛없는) 고소한 당일로스팅 커피원두 200g 500g 1kg 100% 아라비카 블렌딩 롱로이 케냐 AA PLUS 특유의 깔끔하고 세련된 단맛을 시작으로 깊은 단맛의 과테말라 안띠구아와 고소한 초콜릿의 콜롬비아 수프리모를 최적의 비율로 배합한 블렌드. 100% 아라비카로만 구성하여 고급스러운 단맛과 풍미를 경험할 수 있습니다. 고소, 달콤, 담백, 세련미 합니다. 구수, 흙, 둔탁하다 보기는 어렵습니다. (구수한 흙내음은 브라질이 좋습니다.) ㅡ 케냐 AA PLUS의 세련된 단맛에 은은하고 고소한 초콜릿 ㅡ 커핑노트 다크초콜릿, 사과, 우유, 파인애플 / 긴 후미, 묵직한 바디감, 깔끔한 후미 ㅡ 블렌딩 롱로이 로스팅 포인트 커피그대로는 롱로이를 산미(신맛)없는 원두로 로스팅합니다. 전체적인 로스팅을 비교적 천천히하여 과도한 쓴맛을 줄이고 단맛과 고소함 그리고 부드러움을 강조한 블렌드입니다. * 약배전, 빠른속도 = (산미)신맛, 콩향 증가 * 강배전, 느린속도 = 쓴맛, 단맛, 바디감 증가 ★ 서로 상대적입니다. 산미(신맛)이 증가하면 바디감 쓴맛이 줄고, 바디감이 증가하면, 산미(신맛)과 콩향이 줄어듭니다. 분쇄선택 교환 및 반품 안내 주문 후 바로 로스팅하는 방식이므로 고객님의 주문실수, 단순변심 으로 인한 교환 및 반품이 불가 하오니 양해 부탁드립니다. </t>
  </si>
  <si>
    <t>리뷰 로 보는 활용 가이드 이 커피는 신선한 로스팅으로 풍부한 맛과 향을 제공합니다. 사용자들이 매일 즐길 정도로 맛에 대한 만족도가 높습니다. 신선한 로스팅 풍부한 맛과 향 높은 만족도 매일 즐기는 커피 사용자 유형 — 커피 애호가 및 일상에서 커피를 즐기는 사람들 구매 이유 — 신선하고 맛있는 커피를 원하여 활용 방식 — 매일 아침 한 잔씩 내리며 즐김 사용 시점 — 매일 아침, 커피가 필요한 모든 순간 위 내용은 구매자들의 후기를 바탕으로 요약되었습니다.</t>
  </si>
  <si>
    <t>blend</t>
  </si>
  <si>
    <t>상품명:디카페인커피 에티오피아 짐마 마운틴워터 원두홀빈 200g</t>
  </si>
  <si>
    <t>판매가:14,200원</t>
  </si>
  <si>
    <t>https://www.coffeegdero.com/web/product/medium/202309/c707c2d60cb8653013a49ad68634b62a.jpg</t>
  </si>
  <si>
    <t>청포도, 녹차, 카라멜</t>
  </si>
  <si>
    <t>상세정보 반품/교환정보 리뷰 (165) 상품Q&amp;A (2)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커피그대로 디카페인 커피 원두는 커피 본연의 맛과 향을 그대로 유지합니다. 멕시코에서 가장 높은 산 (Pico de Orizaba ; 피코 데 오리사다)의 천연 빙하수를 이용한 98% 디카페인 화학물질 없이 자연친화적인 마운틴 워터프로세스 방식으로 천연 빙하수 를 사용해 카페인의 98% 를 안전하게 제거 (Pico de Orizaba ; 피코 데 오리사다) 마운틴 워터 프로세싱 : Mountain Water Processing 멕시코에서 가장 높은 화산(Pico de Orizaba ; 피코 데 오리사다) 빙하의 맑고 깨끗한 물을 사용하여 카페인을 제거하는 고유한 프로세싱 으로 카페인을 추출하기 위해서는 생두를 개발한 물에 침전시킵니다. 이러한 물은 카페인을 제거할 수 있는 성분이 함유되어 있으며, 용해된 카페인 물은 카페인을 제거하기 위해 탄소필터를 통해 흐르며 걸러지게 됩니다. 이렇게 하면 카페인은 제거 되지만 풍미와 향미의 성분은 온전히 남아있는 “coffee solid soluble(가용성 고형물) charged water”가 됩니다. 이러한 과정을 통해 98% 카페인이 제거됩니다. 마운틴 워터 프로세스 공정을 거친 생두는 수용성 향미와 커피 오일의 재침투로 맛과 향을 그대로 보존합니다. 인체유해성이 적고 카페인 제거율도 높아 선호되는 방식으로 뜨거운 물로 생두가 가지고 있는 카페인과 향미성분을 분리시킨 뒤 탄소 필터로 카페인만을 걸러내고 남은 생두 추출물을 이용하는데, 앞서 분리된 향미성분 추출물에 새로운 커피 생두를 집어넣어 삼투압 방식으로 생두가 지닌 카페인만 용해시킵니다. 따라서 새로 투입된 생두는 향미 성분을 잃지 않으면서도 카페인을 제거할 수 있게 됩니다. 디카페인 커피라고 해서 카페인이 100% 제거된 것은 아니며, 1-2% 정도의 양은 남아 있어도 카페인이 없는 커피로 분류합니다. 디카페인 커피는 진짜 카페인이 없나요? 디카페인 커피는 카페인을 98%이상 제거한 커피 로 커피 한 잔(원두 10g)당 약 0.66mg 정도의 카페인이 들어있습니다. 하루 카페인 섭취 허용량 성인 : 400mg / 임산부 : 300mg / 청소년 : 125mg *추출하는 원두량에 따라 카페인 함량은 달라질 수 있습니다. * 디카페인 원두 유의사항 디카페인 원두는 특성상 일반 원두에 비해 색상이 어둡습니다. 카페인을 추출하는 과정에서 생두의 색이 검게 변하게 되는데 맛과 향에는 문제가 없지만 로스팅을 하고나면 일반 커피 원두보다 검고 오일도 많이 나옵니다. 커피그대로는 100% 당일 로스팅하여 발송하기 때문에 오래되거나 잘못 로스팅된 것이 아니니 안심하고 섭취하셔도 됩니다. 01) 에티오피아 짐마 G4 마운틴 워터 디카페인 산뜻한 산미(신맛)와 고소한 단맛의 조화로움 커핑노트 청포도, 녹차, 카라멜 생산지역 : Ethiopia Djimmah / 재배고도 : 1,700~2,200m 품종 : Heirloom / 재배시기 : 10~2월 / 가공방식 : Decaf Mountain Water ㅡ 에티오피아 짐마 로스팅 포인트 커피그대로는 디카페인 에티오피아를 중강배전으로 로스팅 했습니다. 그래서 산뜻한 산미(신맛)와 적절한 바디감이 조화롭게 어울립니다. * 약배전, 빠른속도 = (산미)신맛, 콩향 증가 * 강배전, 느린속도 = 쓴맛, 단맛, 바디감 증가 ★ 서로 상대적입니다. 산미(신맛)이 증가하면 바디감 쓴맛이 줄고, 바디감이 증가하면, 산미(신맛)과 콩향이 줄어듭니다. ㅡ 에티오피아를 커피의 고향이라고 하는 이유 .. 커피의 시작은 6~7세기경 에티오피아의 칼디(Kaldi)라는 목동에 의해 처음 발견되었다고 알려져 있습니다. 이것은 이른바 ‘칼디의 전설’이라 불리는 이야기로 별다른 이견 없이 정설로 받아들여지고 있습니다. 염소들이 빨간 열매(berry)를 따 먹고 흥분하여 뛰어다니는 광경을 목격한 칼디는 자신도 이 열매를 먹어보게 되었고, 그 결과 머리가 맑아지고 기분이 좋아지고 졸음을 방지하는 등 수양에 도움이 되는 신비의 열매로 알려지면서 커피는 여러 사원으로 퍼져 나갔고 이슬람 세력의 확장과 더불어 커피는 전 세계로 퍼져 나가게 되었습니다. 02) 과테말라 SHB 마운틴 워터 디카페인 풍부한 바디감과 부드러운 산미, 달콤한 풍미 커핑노트 시트러스, 사탕수수, 아몬드, 호두, 견과류 생산지역 : Guatemala Various Regions / 재배고도 : 1,350m 품종 : Caturra, Catuai, Bourbon / 재배시기 : 10~2월, 4~6월 / 가공방식 : Washed ㅡ 과테말라 커피 등급 S H B 과테말라 커피는 재배고도와 함께 결점두의 개수를 기준으로 등급을 구분합니다. 아래 표와 같이, 높은 고도에서 재배된 생두가 높은 등급을 받게 되는데, 이것은 생두의 재배 기간과 연관이 있습니다. 고도가 높은 지역 일수록 낮과 밤의 기온차이가 커지고, 생두가 하루에 성장하는 속도는 기온차이가 적은 저지대 보다 상대적으로 느려지게 됩니다. 따라서, 생두 재배 기간은 그만큼 늘어나게 되고, 천천히 오랫동안 성장하면서 풍부한 일조량과 영양분을 흡수하기 때문에 더 좋은 등급의 커피가 생산되게 됩니다. 따라서 과테말라 커피는 스크린사이즈가 크다고 등급이 높은것이 아닌 것입니다. ㅡ 과테말라 SHB 디카페인 로스팅 포인트 커피그대로는 디카페인 과테말라를 약간 다크하게 로스팅 했습니다. 사실 조금 덜 볶아도 그 맛과 향은 뛰어나지만 묵직한 바디감의 단맛을 가질 수 있게 했습니다. * 약배전, 빠른속도 = (산미)신맛, 콩향 증가 * 강배전, 느린속도 = 쓴맛, 단맛, 바디감 증가 ★ 서로 상대적입니다. 산미(신맛)이 증가하면 바디감 쓴맛이 줄고, 바디감이 증가하면, 산미(신맛)과 콩향이 줄어듭니다. ㅡ 화산의 나라 과테말라 1750년 과테말라에 유입된 선교사들에 의해 처음 소개된 후, 1821년 스페인 식민지에서 독립하며 활발히 이주해왔던 독일 이주민들에 의해 정식산업으로 발전했습니다. 과테말라는 2000년 이후 스페셜티 커피 시장을 이끌며 성장하기 시작했으며, 현재 전체 인구의 1/4이 커피산업에 종사하고 있고 수출품목의 1/3이상을 커피가 차지하고 있는 등 과테말라의 주요 국가산업으로 자리 잡았습니다. 과테말라 커피는 지역에 따라서 맛의 차이가 있지만 과일향과 스모키한 향미를 보여주는 경우가 많은데, 그 중 스모키한 맛과 향은 과테말라의 화산토양으로 인한 것입니다. 과테말라의 태평양 연안에는 무려 33개의 화산이 있으며, 활발한 화산 활동으로 축척된 풍부한 유,무기질의 토양으로 고품질의 커피재배에 좋은 환경을 갖추고 있습니다. 분쇄선택 교환 및 반품 안내 주문 후 바로 로스팅하는 방식이므로 고객님의 주문실수, 단순변심 으로 인한 교환 및 반품이 불가 하오니 양해 부탁드립니다.</t>
  </si>
  <si>
    <t>Ethiopia Djimmah /</t>
  </si>
  <si>
    <t>Decaf Mountain Water</t>
  </si>
  <si>
    <t>리뷰로 보는 활용 가이드
이 커피는 디카페인 원두임에도 일반 원두 못지않은 풍부한 향과 깊은 맛으로 높은 만족도를 보이고 있습니다. 특히 부드럽고 달달한 맛, 신선한 로스팅, 풍부한 향에 대한 긍정적인 평가가 많으며, 카페인 부담 없이 하루 여러 잔 즐기기 좋다는 의견이 많습니다. 디카페인 특유의 밋밋함이 적고 맛과 향의 완성도가 높아 재구매율 또한 높은 편입니다.
디카페인임에도 뛰어난 맛과 향
부드럽고 달달한 풍미
신선한 로스팅과 빠른 배송
높은 재구매율과 만족도
카페인 부담 없이 즐기기 좋은 커피
사용자 유형
— 카페인 부담 없이 커피를 즐기고 싶은 사람
— 디카페인 원두에서도 맛과 향을 중요하게 생각하는 커피 애호가
— 하루 여러 잔 커피를 마시는 사용자
구매 이유
— 디카페인 특유의 부족한 맛 대신 풍부한 향과 바디감을 기대하여 구매
— 신선한 원두와 합리적인 가격에 대한 만족
— 재구매 후기와 추천 리뷰 기반 구매
활용 방식
— 아침 아메리카노 및 일상 홈카페용
— 저녁 시간 가족과 함께 즐기는 디카페인 커피
— 드립, 에스프레소 등 다양한 추출 방식 활용
사용 시점
— 출근 전 아침 커피
— 저녁 시간 카페인 부담 없이 즐기는 커피
— 하루 중 커피가 필요한 모든 순간</t>
  </si>
  <si>
    <t>상품명:케냐 AA PLUS 아이히더 프리미엄 당일로스팅 커피 원두홀빈 200g</t>
  </si>
  <si>
    <t>판매가:13,700원</t>
  </si>
  <si>
    <t>https://www.coffeegdero.com/web/product/medium/202309/4c3404cbc69ff7b15cefff08668a4e4e.jpg</t>
  </si>
  <si>
    <t>라임, 다크초콜릿, 복숭아, 홍차, 오렌지, 캐슈넛, 아몬드 / 달콤한 산미, 부드러운 촉감, 훌륭한 바디감</t>
  </si>
  <si>
    <t xml:space="preserve">상세정보 반품/교환정보 리뷰 (2,308)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케냐 AA PLUS 아이히더 프리미엄 당일로스팅 커피 원두 200g 500g 1kg 서늘한 기후의 비옥한 토양이 만들어낸 케냐의 고급스러움! 고지대의 서늘한 기후로 인해 건조과정이 서서히 진행되어 아이히더만의 특징인 싱그러움을 더 매력적으로 발산합니다. 입안 가득 느껴지는 좋은 감촉과 깔끔한 마무리의 라임 산미와 훌륭한 바디감의 부드러운 촉감이 뛰어납니다. ㅡ 라임의 깔끔한 산미와 다크초콜릿의 부드러운 바디감 ㅡ 커핑노트 라임, 다크초콜릿, 복숭아, 홍차, 오렌지, 캐슈넛, 아몬드 / 달콤한 산미, 부드러운 촉감, 훌륭한 바디감 생산지역 : Kenya Nyeri / 재배고도 : 1,800m 품종 : SL28, SL34 RUIRU11 / 재배시기 : 1월 / 가공방식 : Washed ㅡ 케냐 커피 등급 A A . P L U S 케냐커피협회(Coffee Board of Kenya)가 지정한 등급은 첫째, 생두의 크기(Screen Size)를 기준으로 구분하고, 추가로 밀도와 형태를 확인해 부여합니다. 보통 생두 크기가 크면 좋은 등급을 부여하는데, 크기나 모양을 가지고 등급을 매기는 것은 단지, 수입과 수출을 위한 기준일뿐이며, 그 자체가 커피의 맛과 품질을 충분히 표현해 주진 못합니다. 때문에 AA 등급의 커피가 반드시 맛과 품질이 가장 우수한 커피라고 단정 지을 수 없습니다. 이에 따라 케냐 수출 업체들은 정해진 스크린사이즈 등급기준과 함께, 자체적인 분류 방식을 적용하여 추가적인 생두 등급을 부여합니다. 이를 위해 생두 형태와 결점두의 많고 적음으로 품질을 확인하고, 커핑으로 향미, 바디, 밸런스 등의 맛을 감정해, 품질과 맛이 우수한 커피 순으로 TOP, PLUS, FAQ 등급을 부여하게 됩니다. ㅡ 케냐 아이히더 로스팅 포인트 커피그대로는 케냐 아이히더를 프리미업급에 맞는 중배전으로 로스팅합니다. 따라서 약간의 산미와 너무 무겁지 않은 세련된 바디감이 고소함을 더 느끼게 해줍니다. * 약배전, 빠른속도 = (산미)신맛, 콩향 증가 * 강배전, 느린속도 = 쓴맛, 단맛, 바디감 증가 ★ 서로 상대적입니다. 산미(신맛)이 증가하면 바디감 쓴맛이 줄고, 바디감이 증가하면, 산미(신맛)과 콩향이 줄어듭니다. ㅡ 모차르트의 클라리넷 협주곡 (아웃오브아프리카 ost) 클라리넷 선율과 케냐 커피 한모금으로 깊은 여운을 남깁니다. ㅡ 광활하고 아름다운 케냐, 키암부 19세기 후반 에티오피아를 통해 처음 커피를 도입한 케냐는 합리적인 재배, 가공, 판매 시스템과 국가 차원의 품질개발, 기술교육을 통해 아프리카를 대표하는 커피생산국으로 인정받고 있습니다. 대부분 1,500m 이상의 고원지대에서 커피를 재배하고 적절한 토양과 강수량, 기온 등 커피 재배에 이상적인 자연조건을 갖고 있습니다. 커피의 수확은 6월 중순 ~ 12월경이며, 재배 품종은 아라비타 습식법을 이용하여 가공합니다. 커피 농가는 단위 협동조합으로 구성되어 있고, 정부 산하기관인 케냐커피협회(Coffee Board of Kenya)에서 품종개발, 경작실습, 기술지도 등 적극적인 커피산업정책을 지원하고 있다. 특히 세계적으로 신뢰받는 케냐의 커피 경매 시스템은 케냐커피수출입협회(KCTA : Kenya Coffee-Traders Association)에서 주관하고 있습니다. 커피 경매에서는 라이센스를 가진 딜러들이 경매 대상 커피의 샘플을 로스팅하여 감정결과를 발표하고 이를 바탕으로 경매에 등록되어 높은 가격으로 거래되고 있습니다. KCTA : Kenya Coffee-Traders Association 분쇄선택 교환 및 반품 안내 주문 후 바로 로스팅하는 방식이므로 고객님의 주문실수, 단순변심 으로 인한 교환 및 반품이 불가 하오니 양해 부탁드립니다. </t>
  </si>
  <si>
    <t>Kenya Nyeri /</t>
  </si>
  <si>
    <t>SL28, SL34 RUIRU11 /</t>
  </si>
  <si>
    <t>리뷰 로 보는 활용 가이드 이 커피는 풍부한 향과 신선함으로 많은 사람들에게 사랑받고 있습니다. 사용자들은 고소한 맛과 깔끔한 마무리를 극찬하고 있습니다. 풍부한 향 신선함 고소한 맛 깔끔한 마무리 사용자 유형 — 커피 애호가 구매 이유 — 풍부한 향과 신선함을 찾는 사람들 활용 방식 — 매일 아침 신선한 커피를 즐김 사용 시점 — 아침이나 커피 타임 위 내용은 구매자들의 후기를 바탕으로 요약되었습니다.</t>
  </si>
  <si>
    <t>상품명:코스타리카 따라주 SHB 프리미엄 당일로스팅 커피 원두홀빈 200g</t>
  </si>
  <si>
    <t>판매가:9,900원</t>
  </si>
  <si>
    <t>https://www.coffeegdero.com/web/product/medium/202309/97441a35bec698ba5a1d37d297d2c89f.jpg</t>
  </si>
  <si>
    <t>땅콩, 시나몬, 갈색설탕, 달콤한 빵, 은은한 산미, 견과류 같은 달콤함, 은은한 꽃 향</t>
  </si>
  <si>
    <t>상세정보 반품/교환정보 리뷰 (1,857)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코스타리카 따라주 SHB 프리미엄 당일로스팅 커피 원두 200g 500g 1kg 테라로사 토양, 온화한 기후, 고산지대 그리고 카리브해의 바람까지! 커피 재배에 최적화된 코스타리카는 테라로사 토양, 온화한 기후, 고산지대 그리고 카리브해의 바람까지 더해져 균형감각이 뛰어난 커피입니다. (테라로사 토양 : 철, 마그네슘 등의 미네랄이 풍부해 발작물이 자라기 좋음). 달콤하면서도 고소한 풍미로 훌륭한 단맛에 더해지는 부드러운 산미가 일품입니다. ㅡ 깊은 단맛의 와인 향미, 균형감각이 뛰어난 커피의 진주 ㅡ 커핑노트 땅콩, 시나몬, 갈색설탕, 달콤한 빵, 은은한 산미, 견과류 같은 달콤함, 은은한 꽃 향 생산지역 : Tarrzu / 재배고도 : 1,650m 품종 : Caturra, Catuai / 재배시기 : 1~2월 / 가공방식 : Washed ㅡ 코스타리카 커피 등급 S H B 코스타리카의 생두 품질 등급은 재배지 고도에 따라 8등급으로 나뉘어 집니다. 고도가 높을 수록 일교차가 커 생두의 조직이 단단하고 향미가 짙습니다. 해발 1200~1600m사이에서 재배한 커피를 SHB로 표시하고 최상급으로 분류합니다. ㅡ 따라주 SHB 로스팅 포인트 커피그대로는 코스타리카 따라주를 중배전으로 로스팅합니다. 따라서 적절한 바디감과 단맛이 조화롭게 어울립니다. * 약배전, 빠른속도 = (산미)신맛, 콩향 증가 * 강배전, 느린속도 = 쓴맛, 단맛, 바디감 증가 ★ 서로 상대적입니다. 산미(신맛)이 증가하면 바디감 쓴맛이 줄고, 바디감이 증가하면, 산미(신맛)과 콩향이 줄어듭니다. ㅡ 풍요로운 해변의 나라, 코스타리카 아메리카 대륙에서 가장 가난한고 비참한 스페인 식민지라고 평가될 만큼 코스타리카는 매우 가난한 나라 중 하나였습니다. 1821년, 약 300년 동안의 스페인 식민지 지배에서 독립한 코스타리카 정부는 커피를 국가의 주요 수풀 품목으로 선정하고 본격적인 커피 재배를 시작했습니다. 그 결과, 매년 커피 수출량이 지속적으로 증가하였고, 커피 산업은 관광 산업에 이어 코스타리카의 효자 산업으로 자리 잡았습니다. 대성양과 태평양이 만나는 지점에 위치한 코스타리카는 북위 8~12도에 위치해 있으며, 열대성 기후를 보이고 건기와 우기가 뚜렷한 특징을 가지고 있습니다. 아울러 국토의 대부분이 무기질이 풍부한 화산성 토양으로 덮여 있어 커피 재배에 최적화된 자연환경을 갖추고 있습니다. 분쇄선택 교환 및 반품 안내 주문 후 바로 로스팅하는 방식이므로 고객님의 주문실수, 단순변심 으로 인한 교환 및 반품이 불가 하오니 양해 부탁드립니다.</t>
  </si>
  <si>
    <t>Tarrzu /</t>
  </si>
  <si>
    <t>Caturra, Catuai /</t>
  </si>
  <si>
    <t>리뷰로 보는 활용 가이드
이 커피는 깔끔하면서도 고소하고 풍부한 맛으로 꾸준한 재구매가 이어지는 원두입니다. 특히 향이 좋고 쓰지 않으며, 단맛과 고소한 여운이 오래 남는다는 평가가 많았습니다. 신선한 로스팅과 빠른 배송에 대한 만족도도 높으며, 홈카페·라떼·더치커피 등 다양한 방식으로 활용되고 있습니다. 부담 없이 매일 마시기 좋은 데일리 커피로 평가받고 있으며, 재구매와 장기 이용 후기가 매우 많은 것이 특징입니다.
깔끔하고 고소한 풍미
단맛과 긴 여운
쓰지 않고 부드러운 밸런스
신선한 로스팅과 빠른 배송
높은 재구매율과 꾸준한 만족도
홈카페 및 더치커피 활용도 높음
사용자 유형
— 매일 부담 없이 마실 데일리 원두를 찾는 사용자
— 고소하고 깔끔한 스타일을 선호하는 홈카페 이용자
— 다양한 원두를 시도하며 취향을 찾는 커피 애호가
구매 이유
— 향과 맛의 밸런스가 좋아 꾸준히 재구매
— 합리적인 가격 대비 높은 만족도
— 쓰지 않고 부드러운 맛과 고소한 풍미 때문
활용 방식
— 아메리카노 및 홈카페용 원두
— 라떼 및 더치커피 추출용
— 여러 원두와 블렌딩하여 활용
사용 시점
— 매일 아침 커피 한 잔
— 집이나 직장에서 일상적으로 즐기는 커피
— 홈카페 및 여유로운 휴식 시간</t>
  </si>
  <si>
    <t>상품명:원두 5kg 대용량 카페 사무실 도매 아라비카 커피콩 블렌딩 롱로이 당일로스팅 홀빈</t>
  </si>
  <si>
    <t>5kg</t>
  </si>
  <si>
    <t>판매가:25,600원</t>
  </si>
  <si>
    <t>https://www.coffeegdero.com/web/product/medium/202502/c4f198c11a5c913aafda64920158bb32.png</t>
  </si>
  <si>
    <t>none</t>
  </si>
  <si>
    <t>상세정보 반품/교환정보 리뷰 (19)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커피 원두 선택 (1kg당 3% 할인 된 가격) ㅣ 블렌딩 원두 2종 산미없는(강배전) 블렌딩원두 B01) 100 아라비카 블렌딩 롱로이 _ 25,600원 산미약한(중배전) 블렌딩원두 B02) 100 아라비카 블렌딩 모아나 _ 26,500원 ㅣ 싱글오리진 원두 12종 산미없는(강배전) 블렌딩원두 S01) 브라질 산토스 NY2 _ 22,000원 S02) 브라질 세하도 파인컵 NY2 _ 22,200원 S03) 브라질 옐로우버번 술데미나스 _ 27,500원 S04) 과테말라 안티구아 SHB _ 24,600원 S05) 콜롬비아 수프리모 후일라 _ 24,900원 S06) 인도네시아 만델링 G1 _ 26,700원 산미약한(중강배전) 원두 S07) 코스타리카 따라주 SHB _ 26,800원 산미약한(약중배전) 원두 S09) 에티오피아 예가체프 G2 _ 24,000원 ㅣ 블렌딩 원두 2종 산미없는(강배전) 블렌딩원두 B01.100%아라비카 블렌딩 롱로이 산미약한(중배전) 블렌딩원두 B02.100%아라비카 블렌딩 모아나 ㅣ 싱글오리진 원두 12종 산미없는(강배전) 원두 S01.브라질 산토스 파인컵 NY2 S02.브라질 세하도 파인컵 NY2 S03. 브라질 옐로우버번 술데미나스 S04.과테말라 안티구아 SHB S05.콜롬비아 후일라 수프리모 S06.인도네시아 만델링 G1 산미약한(중강배전) 원두 S07.코스타리카 따라주 SHB 산미약한(약중배전) 원두 S09.에티오피아 예가체프 G2 분쇄선택 교환 및 반품 안내 주문 후 바로 로스팅하는 방식이므로 고객님의 주문실수, 단순변심 으로 인한 교환 및 반품이 불가 하오니 양해 부탁드립니다.</t>
  </si>
  <si>
    <t>NONE</t>
  </si>
  <si>
    <t>상품명:에티오피아 예가체프 G2 하이커머셜 당일로스팅 커피 원두홀빈 200g</t>
  </si>
  <si>
    <t>https://www.coffeegdero.com/web/product/medium/202309/d6299c959c7011c3d98f0a23c43fc681.jpg</t>
  </si>
  <si>
    <t>바닐라, 꿀, 자스민, 초콜릿, 갈색설탕 / 부드럽고 균형 잡힌 산미, 달콤한 여운, 오래 지속되는 후미</t>
  </si>
  <si>
    <t>상세정보 반품/교환정보 리뷰 (1,316)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에티오피아 예가체프 G2 하이커머셜 당일로스팅 커피원두 200g 500g 1kg 부드럽고 달콤함 예가체프 G2! 띠에라는 스페인어로 '땅', '대지'를뜻하며, 달콤한 후미와 부드러움이 탁월합니다. 부드러운 바디감에 달콤함 바닐라 향의 조화를 맛 볼 수 있습니다. 바디감이 좋고 부드러워 블렌딩에도 많이 사용됩니다. ㅡ 부드러운 산미와 바디감에 달콤한 바닐라의 조화 ㅡ 커핑노트 바닐라, 꿀, 자스민, 초콜릿, 갈색설탕 / 부드럽고 균형 잡힌 산미, 달콤한 여운, 오래 지속되는 후미 생산지역 : Ethiopia Yirgacheffe / 재배고도 : 2,200m 품종 : Heirloom / 재배시기 : 11~2월 / 가공방식 : Washed ㅡ 에티오피아 예가체프 커피 등급 G 2 . P R E M I U M 에티오피아의 커피 등급은 ECX 품질등급과 수출등급 두 가지 과정을 거쳐 분류됩니다. ECX(Ethiopia Commodity Exchange)는 에티오피아 현지에 지역별로 있는 농산물 선물거래소로, 생두 모양/크기 등 외관과 클리컵/산미/향/바디까지 따져 1차 커핑 점수를 매긴 후, 71점 이상(G3이상)이면 스페셜티 분류를 위해 2차 커핑을 다시 실시합니다. 그 후 본사 ECX에서 진행하는 경매를 거쳐, 수출되기 전 CQIC(Coffee Quality Inspection Center)에서 수출을 위한 등급이 매겨집니다. 우리가 흔히 알고 있는 등급은 CQIC에서 부여한 수출등급이며, 결점두의 포함정도를 축정해 등급을 구분합니다. 에티오피아의 커피 등급은 생두 300g 당 결점두(defect)의 수에 따라 8등급으로 나뉜다. 결점두는 생두의 재배나 가공과정에서 생긴 비정상적 생두로, 커피의 품질을 떨어뜨립니다. ㅡ 예가체프 G2 로스팅 포인트 커피그대로는 예가체프 G2를 중배전으로 빠르게 로스팅합니다. 따라서 적당한 신맛과 꽃향 그리고 가벼운 바디감이 좋습니다. * 약배전, 빠른속도 = (산미)신맛, 콩향 증가 * 강배전, 느린속도 = 쓴맛, 단맛, 바디감 증가 ★ 서로 상대적입니다. 산미(신맛)이 증가하면 바디감 쓴맛이 줄고, 바디감이 증가하면, 산미(신맛)과 콩향이 줄어듭니다. ㅡ 에티오피아를 커피의 고향이라고 하는 이유 .. 커피의 시작은 6~7세기경 에티오피아의 칼디(Kaldi)라는 목동에 의해 처음 발견되었다고 알려져 있습니다. 이것은 이른바 ‘칼디의 전설’이라 불리는 이야기로 별다른 이견 없이 정설로 받아들여지고 있습니다. 염소들이 빨간 열매(berry)를 따 먹고 흥분하여 뛰어다니는 광경을 목격한 칼디는 자신도 이 열매를 먹어보게 되었고, 그 결과 머리가 맑아지고 기분이 좋아지고 졸음을 방지하는 등 수양에 도움이 되는 신비의 열매로 알려지면서 커피는 여러 사원으로 퍼져 나갔고 이슬람 세력의 확장과 더불어 커피는 전 세계로 퍼져 나가게 되었습니다. Kaldi, Dancing Goats and the Discovery of the Coffee Bean ㅡ 에티오피아 예가체프(Yirgacheffe)가 유명한 이유.. 예가체프는 에티오피아 남부 SNNP(South Nations Nationalities and People)지역 내, 게데오존(Gedeo Zone)에 위치한 마을 입니다. 예가체프, 코케, 아리차, 콩가와 같이 국내 소비자들에게 널리 알려진 고급 스페셜티 커피들이 생산되는 지역이며 특히, 예가체프는 ‘커피의 귀부인’이라는 애칭이 붙을 정도로 세련된 꽃 향기와 달콤하면서 기분 좋은 산미, 부드러운 바디감으로 널리 사랑 받고 있습니다. 대부분의 지역이 해발고도 1,800m 이상의 고지대이며, 비옥한 적색토양과 따뜻한 날씨 덕분에 커피재배에 훌륭한 조건을 갖추고 있고, 대부분의 농장은 전통적인 방법을 고수하며 가족단위로 운영되고 있습니다. 예가체프는 콩의 모양이 일정치 않습니다. 예가체프는 병충해에 빈약하여 강한 농약을 사용할 수 없습니다. 대부분 사람손이 많이 타며 그로인해 자연커피 그 자체입니다. 간 혹 예가체프의 콩이 크고 작고 비틀어졌다하여 좋지 않은 콩이라 착각하는 분들도 계신데, 이는 자연농법으로만 재배하기에 크기나 모양이 일정치 않은 것입니다. 분쇄선택 교환 및 반품 안내 주문 후 바로 로스팅하는 방식이므로 고객님의 주문실수, 단순변심 으로 인한 교환 및 반품이 불가 하오니 양해 부탁드립니다.</t>
  </si>
  <si>
    <t>리뷰로 보는 활용 가이드
이 커피는 에티오피아 예가체프 특유의 베리류 과일향과 은은한 꽃향이 매력적인 원두로, 향미 중심의 깔끔한 커피를 선호하는 사용자들에게 높은 만족도를 보이고 있습니다. 특히 신선한 당일 로스팅 덕분에 향이 풍부하게 살아 있으며, 산미가 과하지 않고 부드럽게 표현된다는 평가가 많았습니다. 드립커피로 추출했을 때 향이 특히 돋보이며, 사무실이나 홈카페 공간 전체에 커피 향이 퍼질 정도로 아로마 만족도가 높은 편입니다.
베리류 과일향과 자스민 계열 꽃향
깔끔하고 산뜻한 끝맛
과하지 않은 부드러운 산미
신선한 당일 로스팅
드립 추출 시 뛰어난 향 표현
높은 재구매 의사와 만족도
사용자 유형
— 과일향과 꽃향 중심의 향미형 커피를 좋아하는 사용자
— 산미 있는 원두를 부담 없이 즐기고 싶은 홈카페 이용자
— 드립커피와 핸드드립을 즐기는 커피 애호가
구매 이유
— 예가체프 특유의 향긋한 향미를 기대하여 구매
— 깔끔한 맛과 풍부한 아로마에 대한 높은 평가
— 신선한 로스팅과 안정적인 원두 품질 때문
활용 방식
— 핸드드립 및 드립커피용
— 가볍고 산뜻한 아메리카노 스타일
— 향미 중심 홈카페 커피
사용 시점
— 아침이나 오후의 가벼운 커피 타임
— 향긋한 커피가 필요한 집중 시간
— 홈카페 및 사무실 드립커피용</t>
  </si>
  <si>
    <t>상품명:브라질 옐로우버번 펄프드 내추럴 NY2 당일로스팅 원두홀빈 200g</t>
  </si>
  <si>
    <t>판매가:10,000원</t>
  </si>
  <si>
    <t>https://www.coffeegdero.com/web/product/medium/202309/3263bffa9a67411f6fb2978210dde747.jpg</t>
  </si>
  <si>
    <t>갈색설탕, 구운밤, 호박, 피칸, 완두콩, 토스트, 해바라기씨 / 부드러운 산미, 긴 후미, 훌륭한 바디감</t>
  </si>
  <si>
    <t>상세정보 반품/교환정보 리뷰 (2,340)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브라질 옐로우버번 술데미나스 펄프드 내추럴 NY2 달콤한 커피원두 200g 500g 1kg 노란색 체리가 품고 있는 달콤한 매력, 옐로우 버본 술데미나스! 잘 익은 체리일수록 노란색을 띄는 옐로우 버본의 풍미, 고소한 호박 토스트가 느껴지고 고소한 갈색설탕의 깊고 풍부한 달콤함이 매력적입니다. 옐로우버본은 버본 품종에서도 가장 높은 품질을 자랑하며, 재배가 까다롭고 생산량도 적습니다. ㅡ 노란색 체리의 옐로우 버본 매력, 호박과 토스트의 고소하고 풍부한 달콤함 ㅡ 커핑노트 갈색설탕, 구운밤, 호박, 피칸, 완두콩, 토스트, 해바라기씨 / 부드러운 산미, 긴 후미, 훌륭한 바디감 생산지역 : Brazil Sul de Minas / 재배고도 : 1,200m 품종 : Yellow Bourbon / 재배시기 : 5~9월 / 가공방식 : Pulped Natural ㅡ 브라질 옐로우 버본 술데미나스 커피 등급 N Y 2 . F I N E C U P 브라질 커피등급은 뉴욕무역거래소(NYBOT : New York Board of Trading)의 기준에 따라 분류합니다. 먼저 아래의 분류 기준에 따라 생두 샘플 300g안에 포함된 결점두의 종류와 개수에 따라 측정값을 확인하고 커핑을 통해 생두의 맛을 평가한 뒤 커피의 향미에 따라 다시 한번 분류가 이루어 지는데 스페셜티 등급을 의미하는 'Fine Cup'과 프리미엄, 커머셜 등급에 해당하는 'Good Cup' 두 가지 단계로 분류됩니다. 커핑을 통해 SS 등급으로 분류되어도 반드시 'Fine Cup'으로 분류되는 것은 아니며, 향미의 전반적인 품질이 우수할 때에만 'FC'등급을 받을 수 있습니다. ㅡ 옐로우버본 술데미나스 로스팅 포인트 커피그대로 노란색 체리인 옐로우버번은 그 성질이 약해 약한불에 천천히 볶습니다. 그로 인해 부드러운 단맛과 고급스러운 구수함이 좋습니다. * 약배전, 빠른속도 = (산미)신맛, 콩향 증가 * 강배전, 느린속도 = 쓴맛, 단맛, 바디감 증가 ★ 서로 상대적입니다. 산미(신맛)이 증가하면 바디감 쓴맛이 줄고, 바디감이 증가하면, 산미(신맛)과 콩향이 줄어듭니다. ㅡ 세계 최대의 커피 생산국 브라질 브라질은 전세계 커피 생산량의 1/3을 차지하고 있으며, 150년 동안 최대 커피 생산국의 위치로서 오랜시간동안 많은 커피 애호가들의 사랑을 받고 있습니다. 브라질의 생두의 커피등급은 뉴욕무역거래소(NYBOT: NewYork Board of Trading)의 기준에 따라 분류합니다. 샘플 300g 안에 포함된 결점두의 종류와 갯수에 따라 측정값을 확인하고, 측정값에 해당하는 등급을 부여합니다. 다음으로 커핑을 통해 생두의 맛을 평가한 뒤 등급을 부여하는데, 가장 좋은 SS 에서부터 RZ까지 총 7단계의 등급으로 구분됩니다.(SS는 Strictly Soft, RZ은 Rio Zone의 줄임말) 이후, 커피의 향미에 따라 다시 한번의 분류가 이뤄지게 되는데, 스페셜티 등급을 의미하는 Fine Cup 과 프리미엄, 커머셜 등급에 해당하는 Good Cup 두 가지 단계로 분류됩니다. 분쇄선택 교환 및 반품 안내 주문 후 바로 로스팅하는 방식이므로 고객님의 주문실수, 단순변심 으로 인한 교환 및 반품이 불가 하오니 양해 부탁드립니다.</t>
  </si>
  <si>
    <t>Brazil Sul de Minas /</t>
  </si>
  <si>
    <t>Yellow Bourbon /</t>
  </si>
  <si>
    <t>Pulped Natural</t>
  </si>
  <si>
    <t>리뷰 로 보는 활용 가이드 신선한 원두에서 고소한 향과 맛이 두드러집니다. 산미가 적어 다양한 커피와 조화롭게 즐길 수 있습니다. 신선한 원두 고소한 향 낮은 산미 다양한 조화 사용자 유형 — 다양한 커피를 즐기는 애호가 구매 이유 — 신선하고 고소한 맛의 원두를 찾기 위해 활용 방식 — 예가체프와 교대로 즐기며 맛의 변화를 경험 사용 시점 — 특별한 날 또는 여유로운 시간에 위 내용은 구매자들의 후기를 바탕으로 요약되었습니다.</t>
  </si>
  <si>
    <t>상품명:에티오피아 모모라 구지 G1 (워시드) 스페셜티 산미강한 커피 원두홀빈 200g</t>
  </si>
  <si>
    <t>판매가:15,200원</t>
  </si>
  <si>
    <t>https://www.coffeegdero.com/web/product/medium/202309/fc1d0728b9d20615c3d6b413ac600169.jpg</t>
  </si>
  <si>
    <t>감귤, 장미, 갈색설탕, 초콜릿, 허브 / 둥글게 감싸 안는 산미, 달콤한 여운, 부드러운 바디</t>
  </si>
  <si>
    <t>상세정보 반품/교환정보 리뷰 (2,000)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에티오피아 모모라 구지 G1 (워시드) 스페셜티 산미강한 커피 원두 200g 500g 1kg 금보다 귀한 스페셜티, 에티오피아 모모라 구지 워시드! 오직 커피를 위해 금을 포기한 사키소(Shakiso)의 농부들. 커피에 대한 농부들의 자부심과 탁월한 기술력으로 탄생한 스페셜티 모모라 (* 사키소 지역은 금광으로 유명하며, 에티오피아는 연 5억달러 이상의 금을 수출하고 있다.) 감귤 초콜릿의 달콤함을 느낄 수 있는 모모라 워시드, 잘 익은 감귤의 과즙과 초콜릿의 달콤한 여운을 느낄 수 있다. ㅡ 둥글게 감싸 안는 산미의 달콤하고 부드러운 바디감 ㅡ 커핑노트 감귤, 장미, 갈색설탕, 초콜릿, 허브 / 둥글게 감싸 안는 산미, 달콤한 여운, 부드러운 바디 생산지역 : Ethiopia Shakiso / 재배고도 : 2,100m 품종 : Heirloom / 재배시기 : 12~1월 / 가공방식 : Washed ㅡ 에티오피아 모모라 구지 G1 커피 등급 G 1 . S p e c i a l t y 에티오피아의 커피 등급은 ECX 품질등급과 수출등급 두 가지 과정을 거쳐 분류된다. ECX(Ethiopia Commodity Exchange)는 에티오피아 현지에 지역별로 있는 농산물 선물거래소로, 생두 모양/크기 등 외관과 클리컵/산미/향/바디까지 따져 1차 커핑 점수를 매긴 후, 71점 이상(G3이상)이면 스페셜티 분류를 위해 2차 커핑을 다시 실시한다. 그 후 본사 ECX에서 진행하는 경매를 거쳐, 수출되기 전 CQIC(Coffee Quality Inspection Center)에서 수출을 위한 등급이 매겨진다. 우리가 흔히 알고 있는 등급은 CQIC에서 부여한 수출등급이며, 결점두의 포함정도를 축정해 등급을 구분한다. 에티오피아의 커피 등급은 생두 300g 당 결점두(defect)의 수에 따라 8등급으로 나뉜다. 결점두는 생두의 재배나 가공과정에서 생긴 비정상적 생두로, 커피의 품질을 떨어뜨린다. ㅡ 모모라 구지 로스팅 포인트 커피그대로는 모모라 구지를 약배전으로 빠르게 로스팅합니다. 따라서 신맛, 콩향이 높아지고 쓴맛 바디감이 약해집니다. * 약배전, 빠른속도 = (산미)신맛, 콩향 증가 * 강배전, 느린속도 = 쓴맛, 단맛, 바디감 증가 ★ 서로 상대적입니다. 산미(신맛)이 증가하면 바디감 쓴맛이 줄고, 바디감이 증가하면, 산미(신맛)과 콩향이 줄어듭니다. ㅡ 에티오피아를 커피의 고향이라고 하는 이유 .. 커피의 시작은 6~7세기경 에티오피아의 칼디(Kaldi)라는 목동에 의해 처음 발견되었다고 알려져 있다. 이것은 이른바 ‘칼디의 전설’이라 불리는 이야기로 별다른 이견 없이 정설로 받아들여지고 있다. 염소들이 빨간 열매(berry)를 따 먹고 흥분하여 뛰어다니는 광경을 목격한 칼디는 자신도 이 열매를 먹어보게 되었고, 그 결과 머리가 맑아지고 기분이 좋아지고 졸음을 방지하는 등 수양에 도움이 되는 신비의 열매로 알려지면서 커피는 여러 사원으로 퍼져 나갔고 이슬람 세력의 확장과 더불어 커피는 전 세계로 퍼져 나가게 되었다. Kaldi, Dancing Goats and the Discovery of the Coffee Bean ㅡ 에티오피아 예가체프(Yirgacheffe)가 유명한 이유.. 예가체프는 에티오피아 남부 SNNP(South Nations Nationalities and People)지역 내, 게데오존(Gedeo Zone)에 위치한 마을 입니다. 예가체프, 코케, 아리차, 콩가와 같이 국내 소비자들에게 널리 알려진 고급 스페셜티 커피들이 생산되는 지역이며 특히, 예가체프는 ‘커피의 귀부인’이라는 애칭이 붙을 정도로 세련된 꽃 향기와 달콤하면서 기분 좋은 산미, 부드러운 바디감으로 널리 사랑 받고 있다. 대부분의 지역이 해발고도 1,800m 이상의 고지대이며, 비옥한 적색토양과 따뜻한 날씨 덕분에 커피재배에 훌륭한 조건을 갖추고 있고, 대부분의 농장은 전통적인 방법을 고수하며 가족단위로 운영되고 있다. 예가체프는 콩의 모양이 일정치 않습니다. 예가체프는 병충해에 빈약하여 강한 농약을 사용할 수 없다. 대부분 사람손이 많이 타며 그로인해 자연커피 그 자체이다. 간 혹 예가체프의 콩이 크고 작고 비틀어졌다하여 좋지 않은 콩이라 착각하는 분들도 계신데, 이는 자연농법으로만 재배하기에 크기나 모양이 일정치 않은것이다. 분쇄선택 교환 및 반품 안내 주문 후 바로 로스팅하는 방식이므로 고객님의 주문실수, 단순변심 으로 인한 교환 및 반품이 불가 하오니 양해 부탁드립니다.</t>
  </si>
  <si>
    <t>Ethiopia Shakiso /</t>
  </si>
  <si>
    <t>리뷰로 보는 활용 가이드
이 커피는 에티오피아 특유의 풍부한 산미와 향이 특징으로, 산미를 선호하는 사용자들에게 특히 높은 만족도를 보이고 있습니다. 부드러우면서도 향과 후미가 진하게 남는다는 평가가 많았으며, 신선한 원두 상태와 풍부한 향에 대한 긍정적인 반응이 꾸준히 나타났습니다. 일부 사용자들은 아이스 아메리카노나 라떼로도 잘 어울린다고 평가했으며, 재구매 후기 또한 많은 편입니다.
풍부한 산미와 향
진하고 오래 남는 후미
신선한 원두 상태
부드러우면서도 강한 맛
높은 재구매 만족도
아이스 커피와 라떼 활용 만족도
사용자 유형
— 산미 있는 커피를 선호하는 사용자
— 에티오피아 계열 향미를 좋아하는 커피 애호가
— 향과 후미를 중요하게 생각하는 홈카페 이용자
구매 이유
— 풍부한 산미와 향 때문
— 진한 후미와 깔끔한 맛에 대한 만족
— 신선한 로스팅과 좋은 원두 품질 때문
활용 방식
— 아이스 아메리카노
— 라떼
— 사무실 및 집에서 일상적으로 음용</t>
  </si>
  <si>
    <t>상품명:콜롬비아 후일라 수프리모 고소한 당일로스팅 커피 원두홀빈 200g</t>
  </si>
  <si>
    <t>판매가:8,900원</t>
  </si>
  <si>
    <t>https://www.coffeegdero.com/web/product/medium/202309/eab59889cdd5160a20d6c3ec3d775f18.jpg</t>
  </si>
  <si>
    <t>헤이즐넛, 갈색설탕, 바닐라, 초콜릿, 부드러운 산미, 부드러운 달콤함, 묵직한 바디</t>
  </si>
  <si>
    <t>상세정보 반품/교환정보 리뷰 (671)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콜롬비아 후일라 수프리모 고소한 당일로스팅 홀빈 커피 원두 200g 500g 1kg ㅡ 부드러운 바디감의 훌륭한 밸런스 고소한 마일드커피의 대명사 ㅡ 커핑노트 헤이즐넛, 갈색설탕, 바닐라, 초콜릿, 부드러운 산미, 부드러운 달콤함, 묵직한 바디 생산지역 : Colombia Antioquia / 재배고도 : 1,700m ~ 1,800m 품종 : CASTILLO / 재배시기 : 5~8월(Main), 10~1월(Fly) / 가공방식 : Washed ㅡ 콜롬비아 커피 등급 S u p r e m o 콜롬비아의 커피 등급은 생두의 크기에 따라 4등급으로 나뉘는데 맛의 차이는 거의 없다. 수프리모(Supremo)는 주로 스페셜티커피(Specialty Coffee)에 쓰는 최고급이며, 엑셀소(Excelso)는 수출용 표준등급이다. ㅡ 후일라 수프리모 로스팅 포인트 커피그대로는 후일라 수프리모는 고소한 단맛을 위해 강배전으로 로스팅합니다. 단맛을 올리기 위해 불을 강하게 주입 후 후반부에 불을 줄여 겉이 타서 기분 나쁜 쓴맛이 되지 않도록 합니다. * 약배전, 빠른속도 = (산미)신맛, 콩향 증가 * 강배전, 느린속도 = 쓴맛, 단맛, 바디감 증가 ★ 서로 상대적입니다. 산미(신맛)이 증가하면 바디감 쓴맛이 줄고, 바디감이 증가하면, 산미(신맛)과 콩향이 줄어듭니다. ㅡ 마일드 커피의 대명사! 콜롬비아 커피이야기 유럽 선교사들을 통해 소개되어 1800년대 초부터 커피 경작이 시작되었고, 1900년을 기점으로 세계 최대 커피 생산국가로 발전하였다. 커피를 생산하는 안데스 산맥 지역은 해발고도 1,400m 이상으로 비옥한 화산재토양과 온화한 기후, 적절한 강수량 등 이상적인 재배 조건을 갖추고 있다. 카페테로(Cafetero)라고 불리는 농부들이 습식법(Wet Method)으로 생산하고 수확기는 10~2월과 4~6월 두 번이다. ㅡ 국가적으로 엄격히 관리되는 콜롬비아 커피의 품질 콜롬비아커피생산자협회(Federacion Nacional de Cafeteros de Colomnia, F.N.C)의 철저한 감독하에 로부스타(Robusta)의 재배를 금지하고 Screen size 13 이하의 생두는 수출을 금지하고 있다. 또한, 커피나무의 보호를 위해 자국 내로 들어오는 모든 차량에 유해 박테리아 번식 방지를 위한 소독을 하는 등 적극적인 정책이 마련되어 있다. 분쇄선택 교환 및 반품 안내 주문 후 바로 로스팅하는 방식이므로 고객님의 주문실수, 단순변심 으로 인한 교환 및 반품이 불가 하오니 양해 부탁드립니다.</t>
  </si>
  <si>
    <t>Colombia Antioquia /</t>
  </si>
  <si>
    <t>CASTILLO /</t>
  </si>
  <si>
    <t>리뷰로 보는 활용 가이드
이 커피는 산미가 강하지 않으면서도 은은하게 균형 잡힌 맛과 고소한 풍미가 특징인 원두입니다. 볶은 견과류 같은 고소함과 카카오 계열의 쌉싸름한 맛, 깊은 바디감에 대한 긍정적인 평가가 많았으며, 깔끔하고 부드러운 맛 덕분에 부담 없이 즐기기 좋다는 의견이 많았습니다. 특히 향과 신선도, 일관된 품질에 대한 만족도가 높고 재구매 후기가 매우 많은 편입니다.
고소하고 부드러운 풍미
균형 잡힌 은은한 산미
카카오·흑설탕 계열 단맛과 쌉싸름함
깊은 바디감과 깔끔한 맛
신선한 원두 상태와 빠른 배송
높은 재구매율과 만족도
사용자 유형
— 산미가 강하지 않은 고소한 커피를 선호하는 사용자
— 부드럽고 밸런스 좋은 커피를 찾는 홈카페 이용자
— 깊은 바디감과 단맛을 중요하게 생각하는 커피 애호가
구매 이유
— 고소한 맛과 부드러운 밸런스 때문
— 향과 신선도에 대한 높은 만족도
— 꾸준히 재구매할 만큼 안정적인 품질 때문
활용 방식
— 라떼
— 핸드드립
— 홈카페 커피</t>
  </si>
  <si>
    <t>상품명:브라질 산토스 NY2 파인컵 산미없는 당일로스팅 커피 원두홀빈 200g</t>
  </si>
  <si>
    <t>판매가:8,100원</t>
  </si>
  <si>
    <t>https://www.coffeegdero.com/web/product/medium/202309/8775e52e29f0bf518529807bdce089c3.jpg</t>
  </si>
  <si>
    <t> 다크초콜릿, 캐러멜, 갈색설탕, 시나몬, 땅콩 / 부드러운 산미, 훌륭한 바디감</t>
  </si>
  <si>
    <t>상세정보 반품/교환정보 리뷰 (683)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브라질 산토스 NY2 파인컵 산미없는 당일로스팅 커피 원두 200g 500g 1kg ㅡ 다크초콜릿의 깊고 진한 바디감에 구수한 흙내음 ㅡ 커핑노트 다크초콜릿, 캐러멜, 갈색설탕, 시나몬, 땅콩 / 부드러운 산미, 훌륭한 바디감 생산지역 : Brazil Santos / 재배고도 : 1,300m 품종 : Red Catuai / 재배시기 : 매년 6~10월 / 가공방식 : Natural ㅡ 브라질 커피 등급 N Y 2 . F I N E C U P 브라질 커피등급은 뉴욕무역거래소(NYBOT : New York Board of Trading)의 기준에 따라 분류한다. 먼저 아래의 분류 기준에 따라 생두 샘플 300g안에 포함된 결점두의 종류와 개수에 따라 측정값을 확인하고 커핑을 통해 생두의 맛을 평가한 뒤 커피의 향미에 따라 다시 한번 분류가 이루어 지는데 스페셜티 등급을 의미하는 'Fine Cup'과 프리미엄, 커머셜 등급에 해당하는 'Good Cup' 두 가지 단계로 분류된다. 커핑을 통해 SS 등급으로 분류되어도 반드시 'Fine Cup'으로 분류되는 것은 아니며, 향미의 전반적인 품질이 우수할 때에만 'FC'등급을 받을 수 있다. ㅡ 브라질 산토스 로스팅 포인트 커피그대로는 브라질 산토스를 가장 약한 강배전으로 로스팅합니다. 따라서 쓴맛은 최대한 줄여 브라질 특유의 중후한 바디감을 조금은 가볍게 즐길수 있습니다. * 약배전, 빠른속도 = (산미)신맛, 콩향 증가 * 강배전, 느린속도 = 쓴맛, 단맛, 바디감 증가 ★ 서로 상대적입니다. 산미(신맛)이 증가하면 바디감 쓴맛이 줄고, 바디감이 증가하면, 산미(신맛)과 콩향이 줄어듭니다. ㅡ 세계 최대의 커피 생산국 브라질 브라질은 전세계 커피 생산량의 1/3을 차지하고 있으며, 150년 동안 최대 커피 생산국의 위치로서 오랜시간동안 많은 커피 애호가들의 사랑을 받고 있습니다. 브라질의 생두의 커피등급은 뉴욕무역거래소(NYBOT: NewYork Board of Trading)의 기준에 따라 분류합니다. 샘플 300g 안에 포함된 결점두의 종류와 갯수에 따라 측정값을 확인하고, 측정값에 해당하는 등급을 부여합니다. 다음으로 커핑을 통해 생두의 맛을 평가한 뒤 등급을 부여하는데, 가장 좋은 SS 에서부터 RZ까지 총 7단계의 등급으로 구분됩니다.(SS는 Strictly Soft, RZ은 Rio Zone의 줄임말) 이후, 커피의 향미에 따라 다시 한번의 분류가 이뤄지게 되는데, 스페셜티 등급을 의미하는 Fine Cup 과 프리미엄, 커머셜 등급에 해당하는 Good Cup 두 가지 단계로 분류됩니다. 분쇄선택 교환 및 반품 안내 주문 후 바로 로스팅하는 방식이므로 고객님의 주문실수, 단순변심 으로 인한 교환 및 반품이 불가 하오니 양해 부탁드립니다.</t>
  </si>
  <si>
    <t>Brazil Santos /</t>
  </si>
  <si>
    <t>Red Catuai /</t>
  </si>
  <si>
    <t>Natural</t>
  </si>
  <si>
    <t>리뷰로 보는 활용 가이드
이 커피는 산미가 거의 없고 고소하면서 부드러운 풍미가 특징인 원두로 평가받고 있습니다. 산토스 특유의 구수함과 향, 가벼우면서도 부드러운 바디감에 대한 긍정적인 반응이 많았으며, 신선한 원두 상태와 일관된 품질에 대한 만족도도 높은 편입니다. 특히 신맛이 강하지 않은 커피를 선호하는 사용자들에게 좋은 평가를 받고 있으며, 재구매 후기가 매우 많습니다.
산미가 적고 고소한 맛
부드럽고 가벼운 바디감
구수한 풍미와 깊은 향
신선한 원두 상태와 빠른 배송
높은 재구매율과 만족도
가성비에 대한 긍정적 평가
사용자 유형
— 산미 없는 고소한 커피를 선호하는 사용자
— 부드럽고 편하게 마실 수 있는 데일리 커피를 찾는 사람
— 신선한 원두와 안정적인 품질을 중요하게 생각하는 사용자
구매 이유
— 신맛이 적고 고소한 맛 때문
— 향과 신선도에 대한 만족
— 꾸준히 믿고 구매할 수 있는 안정적인 품질 때문
활용 방식
— 따뜻한 커피
— 사무실 및 일상 커피
— 데일리 홈카페 커피</t>
  </si>
  <si>
    <t>상품명:브라질 FC 세하도 파트로치니오 당일로스팅 원두홀빈 200g</t>
  </si>
  <si>
    <t>판매가:8,300원</t>
  </si>
  <si>
    <t>https://www.coffeegdero.com/web/product/medium/202309/e6520649397135e08503bdd19ff51bbc.jpg</t>
  </si>
  <si>
    <t>호두, 캐러멜, 시나몬, 초콜릿, 갈색설탕, 부드러운 산미, 입안을 감싸는 달콤함, 좋은 바디감</t>
  </si>
  <si>
    <t>상세정보 반품/교환정보 리뷰 (316)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브라질 FC 세하도 파트로치니오 산미없는 커피 원두 200g 500g 1kg AS IT IS BEAN STORY 광활한 초원, 최적의 기후와 비옥한 토양에서 자라난 세하도는 그 부드러움이 탁월하여 어떤커피와 만나도 자연스럽게 그 풍성한 바디감을 더해 줍니다. 가격대비 맛과 향이 매우 훌륭하여 고급 블렌드 베이스에도 적절합니다. 산토스가 강한 흙내음이라면 세라도는 부드러운 흙내음으로 그 향이 사뭇 다릅니다. ㅡ 깊은 흙내음속에 부드럽게 가득 차 오르는 바디감의 후미 ㅡ 커핑노트 호두, 캐러멜, 시나몬, 초콜릿, 갈색설탕, 부드러운 산미, 입안을 감싸는 달콤함, 좋은 바디감 생산지역 : Brazil Cerrado / 재배고도 : 1,300m 품종 : Red, Catuai / 재배시기 : 매년 5월~8월 / 가공방식 : Natural ㅡ 브라질 커피 등급 N Y 2 . F I N E C U P 브라질 커피등급은 뉴욕무역거래소(NYBOT : New York Board of Trading)의 기준에 따라 분류합니다. 먼저 아래의 분류 기준에 따라 생두 샘플 300g안에 포함된 결점두의 종류와 개수에 따라 측정값을 확인하고 커핑을 통해 생두의 맛을 평가한 뒤 커피의 향미에 따라 다시 한번 분류가 이루어 지는데 스페셜티 등급을 의미하는 'Fine Cup'과 프리미엄, 커머셜 등급에 해당하는 'Good Cup' 두 가지 단계로 분류됩니다. 커핑을 통해 SS 등급으로 분류되어도 반드시 'Fine Cup'으로 분류되는 것은 아니며, 향미의 전반적인 품질이 우수할 때에만 'FC'등급을 받을 수 있습니다. ㅡ 브라질 세하도 로스팅 포인트 커피그대로 브라질 세하도는 깊고 넓은 흙내음이 매력적입니다. 꽉차오르는 바디감또한 일품입니다. 커머셜 등급이지만 프리미엄급 이상의 가치를 가진다고해도 과언이 아닙니다. 그 특징을 살리기 위해서 풍부한 바디감과 깊은 흙내음의 아로마를 살리기 위해 DTR 구간의 화력을 적정치로 조금 길게 끌고 갑니다. * 약배전, 빠른속도 = (산미)신맛, 콩향 증가 * 강배전, 느린속도 = 쓴맛, 단맛, 바디감 증가 ★ 서로 상대적입니다. 산미(신맛)이 증가하면 바디감 쓴맛이 줄고, 바디감이 증가하면, 산미(신맛)과 콩향이 줄어듭니다. ㅡ 세계 최대의 커피 생산국 브라질 브라질은 전세계 커피 생산량의 1/3을 차지하고 있으며, 150년 동안 최대 커피 생산국의 위치로서 오랜시간동안 많은 커피 애호가들의 사랑을 받고 있습니다. 브라질의 생두의 커피등급은 뉴욕무역거래소(NYBOT: NewYork Board of Trading)의 기준에 따라 분류합니다. 샘플 300g 안에 포함된 결점두의 종류와 갯수에 따라 측정값을 확인하고, 측정값에 해당하는 등급을 부여합니다. 다음으로 커핑을 통해 생두의 맛을 평가한 뒤 등급을 부여하는데, 가장 좋은 SS 에서부터 RZ까지 총 7단계의 등급으로 구분됩니다.(SS는 Strictly Soft, RZ은 Rio Zone의 줄임말) 이후, 커피의 향미에 따라 다시 한번의 분류가 이뤄지게 되는데, 스페셜티 등급을 의미하는 Fine Cup 과 프리미엄, 커머셜 등급에 해당하는 Good Cup 두 가지 단계로 분류됩니다. 분쇄선택 교환 및 반품 안내 주문 후 바로 로스팅하는 방식이므로 고객님의 주문실수, 단순변심 으로 인한 교환 및 반품이 불가 하오니 양해 부탁드립니다.</t>
  </si>
  <si>
    <t>Brazil Cerrado /</t>
  </si>
  <si>
    <t>Red, Catuai /</t>
  </si>
  <si>
    <t>리뷰로 보는 활용 가이드
이 커피는 산미가 적고 고소하면서 묵직한 풍미가 특징인 원두로 평가받고 있습니다. 브라질 특유의 구수함과 부드러운 맛, 살아있는 향에 대한 긍정적인 반응이 많았으며, 쓴맛 없이 마일드하게 즐기기 좋다는 의견이 많았습니다. 특히 신선한 원두 상태와 향 유지력, 안정적인 맛 덕분에 장기간 재구매하는 사용자 비율이 높은 편입니다.
산미가 적고 고소한 풍미
묵직하고 부드러운 바디감
향이 살아있는 신선한 원두
쓴맛이 적고 마일드한 맛
높은 재구매율과 만족도
가성비와 포장 품질에 대한 긍정적 평가
사용자 유형
— 산미 없는 고소한 커피를 선호하는 사용자
— 부드럽고 편안한 스타일의 커피를 찾는 사람
— 매일 부담 없이 마실 데일리 원두를 원하는 사용자
구매 이유
— 고소하고 묵직한 맛 때문
— 향과 신선도에 대한 만족
— 안정적인 품질과 높은 재구매 만족도 때문
활용 방식
— 라떼
— 따뜻한 커피
— 사무실 커피
— 교회 커피머신용</t>
  </si>
  <si>
    <t>상품명:인도네시아 만델링 G1 프리미엄 구수한 당일로스팅 커피 원두홀빈 200g</t>
  </si>
  <si>
    <t>판매가:9,500원</t>
  </si>
  <si>
    <t>https://www.coffeegdero.com/web/product/medium/202309/5be3cbf03437489c2dc3c5e74ce1a637.jpg</t>
  </si>
  <si>
    <t>브랜디, 캐러멜, 캐슈넛, 고구마 / 고급스러운 바디감, 실크 같은 촉감</t>
  </si>
  <si>
    <t>상세정보 반품/교환정보 리뷰 (737)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만델링은 특유의 쿰쿰하고 강한 흙내음의 구수한 커피입니다. (신맛이 없고, 바디감 높은 강배전 커피입니다) ' 처음 접하시는 분들은 싸구려 커피 같다고 느끼실 수 있으니 매니아가 아니시면 구매를 삼가해 주시기 바랍니다 ^^' 인도네시아 만델링 G1 프리미엄 구수한 당일로스팅 커피 원두 200g 500g 1kg 구수한 흙내음에 깊고 진한 바디감의 단맛! 화산으로 형성된 수마트라 섬의 비옥한 토양에서 자란 만델링은 핸드픽의 과정을 기존 더블 픽에서 트리플 픽(Triple Pick)으로 늘려, 그 우수한 품질을 자랑한다. 트리플 픽이란, 3번의 핸드픽으로 결점두, 미성숙된 콩을 걸러내 좋은 품질의 생두만을 생산하는 수작업 공정입니다. ㅡ 강한 흙내음의 바디감에 깊고 진한 달콤함 ㅡ 커핑노트 브랜디, 캐러멜, 캐슈넛, 고구마 / 고급스러운 바디감, 실크 같은 촉감 생산지역 : Sumatra / 재배고도 : 1,600m 품종 : Rasuna / 재배시기 : 9월 / 가공방식 : Wet Hulling ㅡ 인도네시아 커피 등급 G1 인도네시아 커피의 등급은 300g의 생두당 결점두를 기준으로 6등급으로 나누어 부여합니다. 연중 습도가 높고 일조량이 적은 환경 탓에 인도네시아에서는 '길링바샤(Galling Basah)' 혹은 웻 홀링(Wet-Huling)이라는 독특한 가공방식을 사용하기도하는데, 이 방식은 생두의 수분율이 30~40%일 때 파치먼트를 벗겨내고 그린빈 상태로 건조해 수분율을 11%까지 떨어뜨리는 태양건조 방식입니다. 이방식을 통해 건조시간을 절약할 수 있지만, 생두의 외관이 불규칙해지는 단점을 발생시키기도 합니다. =&gt; 불규칙한 콩 알갱이를 보고 오래된것 또는 등급이 낮은것 아니냐는 오해를 하지 않으시길 바랍니다. ㅡ 인도네시아 만델링 로스팅 포인트 커피그대로는 만델링을 거의 강배전의 시작점까지 로스팅합니다. 다크한 커피입니다. 신맛의 약배전한 에티오피아의 커피, 수프리모의 고소한 단맛과는 거리가 멀고, 꾸덕꾸덕 구수한 흙냄새(시골냄새)가 강하며 강한 바디감의 단맛이 좋습니다. * 약배전, 빠른속도 = (산미)신맛, 콩향 증가 * 강배전, 느린속도 = 쓴맛, 단맛, 바디감 증가 ★ 서로 상대적입니다. 산미(신맛)이 증가하면 바디감 쓴맛이 줄고, 바디감이 증가하면, 산미(신맛)과 콩향이 줄어듭니다. ㅡ 인도네시아의 커피 이야기 13,000개의 섬으로 구성된 인도네시아는 연간 커피 생산량이 약 35만톤에 이르는 아시아 최대의 커피 생산국입니다. 네덜란드에서 커피나무가 이식되면서 1696년 자바섬에서 부터 커피재배가 시작되었습니다. 인도네시아는 대체로 무기질이 풍부한 화산지형으로 이루어져 있어 커피재배에 이상적이지만, 1877년 커피 녹병(Coffee Leaf Rust)으로 전체 커피농장들이 초토화되면서 병충해에 강한 로부스타 커피(Robusta Coffee)를 주로 재배하게 되었습니다. 인도네시아에서 생산되는 커피의 90%는 남부지역에 치중되어 있으며, 나머지 10%정도가 북부 지역에서 생산됩니다. 인도네시아의 가장 큰 섬인 자바와 수마트라엔 3,000m가 넘는 수많은 화산들이 집중되어 있으며 이러한 화산의 고지대 혹은 분지에서 대다수의 커피가 생산되고 있습니다. 분쇄선택 교환 및 반품 안내 주문 후 바로 로스팅하는 방식이므로 고객님의 주문실수, 단순변심 으로 인한 교환 및 반품이 불가 하오니 양해 부탁드립니다.</t>
  </si>
  <si>
    <t>Sumatra /</t>
  </si>
  <si>
    <t>Rasuna /</t>
  </si>
  <si>
    <t>Wet Hulling</t>
  </si>
  <si>
    <t>리뷰로 보는 활용 가이드
이 커피는 산미가 거의 없고 고소하며 구수한 향이 특징인 원두로 평가받고 있습니다. 신맛 없는 깔끔한 맛을 찾던 사용자들에게 만족도가 높았고, 향과 신선도에 대한 긍정적인 후기가 많았습니다. 특히 한 리뷰에서 스타벅스의 맛과 향이 난다고 언급되어, 익숙한 진한 커피 스타일을 선호하는 사용자에게도 잘 맞는 원두로 볼 수 있습니다.
산미가 적고 깔끔한 맛
고소하고 구수한 커피향
스타벅스와 비슷한 맛과 향
신선한 원두 상태
재구매 후기가 많은 원두
편안하고 무난하게 마시기 좋은 맛
사용자 유형
— 신맛 없는 고소한 커피를 선호하는 사용자
— 스타벅스와 비슷한 진한 커피 스타일을 좋아하는 사용자
— 산미에 약한 사용자
— 향이 좋은 원두를 찾는 사용자
구매 이유
— 산미 없는 깔끔한 맛 때문
— 고소한 향과 신선한 원두 상태 때문
— 재구매할 만큼 맛에 대한 만족도가 높아서
활용 방식
— 에스프레소
— 커피머신
— 여러 원두와 섞어서 음용</t>
  </si>
  <si>
    <t>상품명:100 아라비카 블렌딩 모아나 산미있는 당일로스팅 커피 원두홀빈 200g</t>
  </si>
  <si>
    <t>판매가:10,200원</t>
  </si>
  <si>
    <t>https://www.coffeegdero.com/web/product/medium/202309/040d379b1e201a693056d81e7e2d3b8d.jpg</t>
  </si>
  <si>
    <t>감귤, 장미, 블루베리, 파인애플, 바닐라, 부드러운 바디, 깔끔한 후미</t>
  </si>
  <si>
    <t>상세정보 반품/교환정보 리뷰 (1,009)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100%아라비카 블렌딩 모아나 산미있는(중간) 당일로스팅 커피 원두 200g 500g 1kg 고객 후기를 바탕으로 깊은 신맛의 바디감과 단맛의 부드러움을 추구했습니다. [산미(신맛)의 바디감이 높았으면하는 의견이 많았습니다] 100% 아라비카 블렌딩 모아나 예가체프의 깊은 산미(신맛), 바닐라향을 시작으로 고소한 단맛의 카우카 수프리모와 부드럽고 깊은 단맛의 브라질 모지아나를 최적의 비율로 중성적 부드러움의 바디감을 가진 블렌드. 100% 아라비카로만 구성하여 우아한 향미와 부드러움을 경험할 수 있다. 신맛이 적당히 있으면서 바디감을 가진 블렌드를 찾으시는 분께 추천한다. ㅡ 둥글둥글 감귤 풍미에 꽉 차 오르는 바디감의 고소한 단맛 ㅡ 커핑노트 감귤, 장미, 블루베리, 파인애플, 바닐라, 부드러운 바디, 깔끔한 후미 ㅡ 블렌딩 모아나 로스팅 포인트 커피그대로는 모아나를 중배전으로 로스팅합니다. 따라서 적당한 산미와 바디감을 동시에 가진 고소하면서 우아한 블렌드를 즐길 수 있습니다. * 약배전, 빠른속도 = (산미)신맛, 콩향 증가 * 강배전, 느린속도 = 쓴맛, 단맛, 바디감 증가 ★ 서로 상대적입니다. 산미(신맛)이 증가하면 바디감 쓴맛이 줄고, 바디감이 증가하면, 산미(신맛)과 콩향이 줄어듭니다. 분쇄선택 교환 및 반품 안내 주문 후 바로 로스팅하는 방식이므로 고객님의 주문실수, 단순변심 으로 인한 교환 및 반품이 불가 하오니 양해 부탁드립니다.</t>
  </si>
  <si>
    <t>리뷰로 보는 활용 가이드
이 커피는 적당한 산미와 풍부한 아로마, 고소한 끝맛이 특징인 원두로 평가받고 있습니다. 당일 로스팅으로 인한 신선함과 향에 대한 만족도가 높으며, 특히 라떼와 머신커피용으로 자주 활용된다는 후기가 많았습니다. 산미가 너무 강하지 않아 부담 없이 마시기 좋고, 아메리카노와 라떼 모두 잘 어울린다는 의견이 많아 활용성이 높은 원두로 보입니다.
적당한 산미와 풍부한 아로마
고소하고 깔끔한 끝맛
당일 로스팅 기반 신선한 원두
라떼와 잘 어울리는 풍미
향과 신선도에 대한 높은 만족도
재구매율이 높은 원두
사용자 유형
— 라떼를 자주 마시는 사용자
— 적당한 산미와 아로마를 선호하는 사용자
— 머신커피와 홈카페를 함께 즐기는 사용자
— 신선한 원두와 가성비를 중요하게 생각하는 사용자
구매 이유
— 향과 아로마에 대한 높은 만족도
— 당일 로스팅 기반의 신선함 때문
— 라떼와 아메리카노 모두 잘 어울려서
— 재구매할 만큼 안정적인 맛과 품질 때문
활용 방식
— 라떼
— 바닐라 라떼
— 아메리카노
— 머신커피
— 더치커피</t>
  </si>
  <si>
    <t>상품명:1kg(500g소분) 당일로스팅 고급 아라비카 커피공장 홀빈 원두</t>
  </si>
  <si>
    <t>1kg</t>
  </si>
  <si>
    <t>판매가:22,600원</t>
  </si>
  <si>
    <t>https://www.coffeegdero.com/web/product/medium/202309/2ea1bd14654c0194c71dbf9b77ed87ae.jpg</t>
  </si>
  <si>
    <t>상세정보 반품/교환정보 리뷰 (976)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ㅣ 싱글오리진 원두 12종 산미없는(강배전) 블렌딩원두 S01) 브라질 산토스 NY2 _ 22,600원 S02) 브라질 세하도 파인컵 NY2 _ 22,800원 S03) 브라질 옐로우버번 술데미나스 _ 28,300원 S04) 과테말라 안티구아 SHB _ 25,300원 S05) 콜롬비아 수프리모 후일라 _ 25,600원 S06) 인도네시아 만델링 G1 _ 27,500원 산미약한(중강배전) 원두 S07) 코스타리카 따라주 SHB _ 27,600원 S08) 케냐 AA PLUS 아이히더 _ 38,300원 산미약한(약중배전) 원두 S09) 에티오피아 예가체프 G2 _ 24,700원 S10) 에티오피아 모모라 구지 G1 _ 39,700원 산미높은(약배전) 원두 S11) 에티오피아 코케허니 G1 _ 33,800원 S12) 에티오피아 아리차 G1 _ 36,800원 ㅣ 블렌딩 원두 3종 산미없는(강배전) 블렌딩원두 B01) 100 아라비카 블렌딩 다크로이 _ 24,500원 산미없는(강배전) 블렌딩원두 B02) 100 아라비카 블렌딩 롱로이 _ 26,300원 산미약한(중배전) 블렌딩원두 B03) 100 아라비카 블렌딩 모아나 _ 27,300원 ㅣ 디카페인원두 2종 산미없는(강배전) 디카페인원두 D01) 디카페인 과테말라 SHB _ 38,500원 산미약한(중배전) 디카페인원두 D02) 디카페인 에티오피아 짐마 G4 _ 37,700원 ㅣ 싱글오리진 원두 12종 산미없는(강배전) 원두 S01.브라질 산토스 파인컵 NY2 S02.브라질 세하도 파인컵 NY2 S03. 브라질 옐로우버번 술데미나스 S04.과테말라 안티구아 SHB S05.콜롬비아 후일라 수프리모 S06.인도네시아 만델링 G1 산미약한(중강배전) 원두 S07.코스타리카 따라주 SHB S08.케냐 아이히더 AA PLUS 산미약한(약중배전) 원두 S09.에티오피아 예가체프 G2 S10.에티오피아 모모라구지 G1 산미높은(약배전) 원두 S11.에티오피아 코케허니 G1 S12.에티오피아 아리차 (내추럴) G1 ㅣ 블렌딩 원두 3종 산미없는(강배전) 블렌딩원두 B01.100%아라비카 블렌딩 다크로이 산미없는(강배전) 블렌딩원두 B02.100%아라비카 블렌딩 롱로이 산미약한(중배전) 블렌딩원두 B03.100%아라비카 블렌딩 모아나 ㅣ 디카페인원두 2종 산미없는(강배전) 디카페인원두 D01) 디카페인 과테말라 SHB 산미약한(중배전) 디카페인원두 D02) 디카페인 에티오피아 짐마 G4 분쇄선택 교환 및 반품 안내 주문 후 바로 로스팅하는 방식이므로 고객님의 주문실수, 단순변심 으로 인한 교환 및 반품이 불가 하오니 양해 부탁드립니다.</t>
  </si>
  <si>
    <t>상품명:100 아라비카 블렌딩 다크로이 당일로스팅 커피 원두홀빈 200g</t>
  </si>
  <si>
    <t>https://www.coffeegdero.com/web/product/medium/202507/cf6d76187cced25ac228d93f1fd2d5c4.jpg</t>
  </si>
  <si>
    <t>다크초콜릿, 카카오 / 가득한 바디감, 부드러운 단맛</t>
  </si>
  <si>
    <t>상세정보 반품/교환정보 리뷰 (5)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100%아라비카 블렌딩 다크로이(신맛없는) 고소한 당일로스팅 커피원두 200g 500g 1kg 100% 아라비카 블렌딩 다크로이 깊은 단맛의 브라질 세하도와 고소한 초콜릿의 콜롬비아 수프리모를 최적의 비율로 배합한 블렌드. 100% 아라비카로만 구성하여 깊은 단맛과 풍미를 경험할 수 있습니다. 고소, 달콤, 담백, 세련미 합니다. 구수, 흙, 둔탁하다 보기는 어렵습니다. (구수한 흙내음은 브라질이 좋습니다.) ㅡ 구수함과 깊은 단맛에 고소한 후미 ㅡ 커핑노트 다크초콜릿, 카카오 / 가득한 바디감, 부드러운 단맛 ㅡ 블렌딩 다크로이 로스팅 포인트 커피그대로는 다크로이를 산미(신맛)없는 원두로 로스팅합니다. 전체적인 다크로스팅을 비교적 천천히하여 과도한 쓴맛을 줄이고 높은 바디감과 단맛을 살린 바디감 높은 블렌드입니다. * 약배전, 빠른속도 = (산미)신맛, 콩향 증가 * 강배전, 느린속도 = 쓴맛, 단맛, 바디감 증가 ★ 서로 상대적입니다. 산미(신맛)이 증가하면 바디감 쓴맛이 줄고, 바디감이 증가하면, 산미(신맛)과 콩향이 줄어듭니다. 분쇄선택 교환 및 반품 안내 주문 후 바로 로스팅하는 방식이므로 고객님의 주문실수, 단순변심 으로 인한 교환 및 반품이 불가 하오니 양해 부탁드립니다.</t>
  </si>
  <si>
    <t>리뷰로 보는 활용 가이드
- 산미 없는 묵직한 바디감
- 흑설탕·카카오 계열 풍미
- 진하고 깊은 맛
- 저가 커피 체인 대비 높은 만족도
- 라떼와 잘 어울리는 스타일
사용자 유형
— 산미 없는 진한 커피를 선호하는 사용자
— 묵직한 바디감과 다크한 풍미를 좋아하는 사용자
구매 이유
— 진한 바디감과 카카오 계열 풍미 때문
— 가성비 대비 높은 만족도 때문
활용 방식
— 라떼</t>
  </si>
  <si>
    <t>상품명:200g 당일로스팅 고급 아라비카 커피공장 홀빈 원두</t>
  </si>
  <si>
    <t>https://www.coffeegdero.com/web/product/medium/202309/69b7dc5d7e25e1ff60cdde26ad1df9ac.jpg</t>
  </si>
  <si>
    <t>상세정보 반품/교환정보 리뷰 (630)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ㅣ 싱글오리진 원두 12종 산미없는(강배전) 블렌딩원두 S01) 브라질 산토스 NY2 _ 8,100원 S02) 브라질 세하도 파인컵 NY2 _ 8,300원 S03) 브라질 옐로우버번 술데미나스 _ 10,000원 S04) 과테말라 안티구아 SHB _ 9,000원 S05) 콜롬비아 수프리모 후일라 _ 8,900원 S06) 인도네시아 만델링 G1 _ 9,500원 산미약한(중강배전) 원두 S07) 코스타리카 따라주 SHB _ 9,900원 S08) 케냐 AA PLUS 아이히더 _ 13,700원 산미약한(약중배전) 원두 S09) 에티오피아 예가체프 G2 _ 9,000원 S10) 에티오피아 모모라 구지 G1 _ 15,200원 산미높은(약배전) 원두 S11) 에티오피아 코케허니 G1 _ 11,800원 S12) 에티오피아 아리차 G1 _ 13,600원 ㅣ 블렌딩 원두 3종 산미없는(강배전) 블렌딩원두 B01) 100 아라비카 블렌딩 다크로이 _ 8,900원 산미없는(강배전) 블렌딩원두 B02) 100 아라비카 블렌딩 롱로이 _ 9,300원 산미약한(중배전) 블렌딩원두 B03) 100 아라비카 블렌딩 모아나 _ 10,200원 ㅣ 디카페인원두 2종 산미없는(강배전) 디카페인원두 D01) 디카페인 과테말라 SHB _ 14,300원 산미약한(중배전) 디카페인원두 D02) 디카페인 에티오피아 짐마 G4 _ 14,200원 ㅣ 싱글오리진 원두 12종 산미없는(강배전) 원두 S01.브라질 산토스 파인컵 NY2 S02.브라질 세하도 파인컵 NY2 S03. 브라질 옐로우버번 술데미나스 S04.과테말라 안티구아 SHB S05.콜롬비아 후일라 수프리모 S06.인도네시아 만델링 G1 산미약한(중강배전) 원두 S07.코스타리카 따라주 SHB S08.케냐 아이히더 AA PLUS 산미약한(약중배전) 원두 S09.에티오피아 예가체프 G2 S10.에티오피아 모모라구지 G1 산미높은(약배전) 원두 S11.에티오피아 코케허니 G1 S12.에티오피아 아리차 (내추럴) G1 ㅣ 블렌딩 원두 3종 산미없는(강배전) 블렌딩원두 B01.100%아라비카 블렌딩 다크로이 산미없는(강배전) 블렌딩원두 B02.100%아라비카 블렌딩 롱로이 산미약한(중배전) 블렌딩원두 B03.100%아라비카 블렌딩 모아나 ㅣ 디카페인원두 2종 산미없는(강배전) 디카페인원두 D01) 디카페인 과테말라 SHB 산미약한(중배전) 디카페인원두 D02) 디카페인 에티오피아 짐마 G4 분쇄선택 교환 및 반품 안내 주문 후 바로 로스팅하는 방식이므로 고객님의 주문실수, 단순변심 으로 인한 교환 및 반품이 불가 하오니 양해 부탁드립니다.</t>
  </si>
  <si>
    <t>상품명:500g 당일로스팅 고급 아라비카 커피공장 홀빈 원두</t>
  </si>
  <si>
    <t>500g</t>
  </si>
  <si>
    <t>판매가:14,700원</t>
  </si>
  <si>
    <t>https://www.coffeegdero.com/web/product/medium/202309/e19f7a14896648d6a5228a20f7a1a0a3.jpg</t>
  </si>
  <si>
    <t>상세정보 반품/교환정보 리뷰 (644) 상품Q&amp;A (0)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ㅣ 싱글오리진 원두 12종 산미없는(강배전) 블렌딩원두 S01) 브라질 산토스 NY2 _ 14,700원 S02) 브라질 세하도 파인컵 NY2 _ 14,900원 S03) 브라질 옐로우버번 술데미나스 _ 18,100원 S04) 과테말라 안티구아 SHB _ 16,300원 S05) 콜롬비아 수프리모 후일라 _ 16,500원 S06) 인도네시아 만델링 G1 _ 17,500원 산미약한(중강배전) 원두 S07) 코스타리카 따라주 SHB _ 17,900원 S08) 케냐 AA PLUS 아이히더 _ 25,300원 산미약한(약중배전) 원두 S09) 에티오피아 예가체프 G2 _ 16,100원 S10) 에티오피아 모모라 구지 G1 _ 26,300원 산미높은(약배전) 원두 S11) 에티오피아 코케허니 G1 _ 21,900원 S12) 에티오피아 아리차 G1 _ 23,600원 ㅣ 블렌딩 원두 3종 산미없는(강배전) 블렌딩원두 B01) 100 아라비카 블렌딩 다크로이 _ 15,700원 산미없는(강배전) 블렌딩원두 B01) 100 아라비카 블렌딩 롱로이 _ 16,800원 산미약한(중배전) 블렌딩원두 B02) 100 아라비카 블렌딩 모아나 _ 17,800원 ㅣ 디카페인원두 2종 산미없는(강배전) 디카페인원두 D01) 디카페인 과테말라 SHB _ 25,000원 산미약한(중배전) 디카페인원두 D02) 디카페인 에티오피아 짐마 G4 _ 24,600원 ㅣ 싱글오리진 원두 12종 산미없는(강배전) 원두 S01.브라질 산토스 파인컵 NY2 S02.브라질 세하도 파인컵 NY2 S03. 브라질 옐로우버번 술데미나스 S04.과테말라 안티구아 SHB S05.콜롬비아 후일라 수프리모 S06.인도네시아 만델링 G1 산미약한(중강배전) 원두 S07.코스타리카 따라주 SHB S08.케냐 아이히더 AA PLUS 산미약한(약중배전) 원두 S09.에티오피아 예가체프 G2 S10.에티오피아 모모라구지 G1 산미높은(약배전) 원두 S11.에티오피아 코케허니 G1 S12.에티오피아 아리차 (내추럴) G1 ㅣ 블렌딩 원두 3종 산미없는(강배전) 블렌딩원두 B01.100%아라비카 블렌딩 다크로이 산미없는(강배전) 블렌딩원두 B02.100%아라비카 블렌딩 롱로이 산미약한(중배전) 블렌딩원두 B03.100%아라비카 블렌딩 모아나 ㅣ 디카페인원두 2종 산미없는(강배전) 디카페인원두 D01) 디카페인 과테말라 SHB 산미약한(중배전) 디카페인원두 D02) 디카페인 에티오피아 짐마 G4 분쇄선택 교환 및 반품 안내 주문 후 바로 로스팅하는 방식이므로 고객님의 주문실수, 단순변심 으로 인한 교환 및 반품이 불가 하오니 양해 부탁드립니다.</t>
  </si>
  <si>
    <t>상품명:에티오피아 아리차 내추럴 예가체프 G1 스페셜티 커피 원두홀빈 200g</t>
  </si>
  <si>
    <t>판매가:13,600원</t>
  </si>
  <si>
    <t>https://www.coffeegdero.com/web/product/medium/202309/92b6da5298e455bc2de13896bdc84741.jpg</t>
  </si>
  <si>
    <t> 살구, 장미, 초콜릿, 망고, 건자두, 베리, 감귤류 / 밝은 산미, 시럽같은 감촉, 환상적인맛</t>
  </si>
  <si>
    <t xml:space="preserve">상세정보 반품/교환정보 리뷰 (2,628) 상품Q&amp;A (2) ## 커피원두 판매가 조정안내 ## 최근 세계적으로 생두가격, 환율, 수급 문제로 불가피하게 가격 인상이 진행중입니다. 최대한 최소 마진으로 보답하기위해 노력하겠습니다. 이점 널리 양해 바랍니다. 커피그대로고객만을 위한 등급혜택 갓볶은 원두만 배송 드리기 위한 일정! ※ 오전 9시 이전 주문은 당일 로스팅 출고합니다. ※ 오전 9시 이후 주문은 익일 로스팅 출고합니다. ※ 금요일 오전 9시 이후.. 월요일 로스팅 출고 ! ※ 토, 일, 공휴일 주문은 익일 평일 로스팅 출고합니다 ! 에티오피아 아리차(내추럴) 예가체프 G1 스페셜티 산미강한 커피원두 200g 500g 1kg 커피의 시작, 에티오피아 예가체프 최고의 맛! 아리차 G1 내추럴은 비옥한 토양 따뜻한 기후, 연중 풍부한 강수량 그리고 커피를 사랑하는 예가체프의 농부들이 함께 만든 커피, 아리차, 해발 2,000m의 초록숲이 우거진 밸리의 동쪽 기슭에 위치하며 바로 이곳이 예가체프 최고의 커피 경작지이다. ㅡ 싱그러운 과일 풍미와 밝은 산미의 달콤한 여운 ㅡ 커핑노트 살구, 장미, 초콜릿, 망고, 건자두, 베리, 감귤류 / 밝은 산미, 시럽같은 감촉, 환상적인맛 생산지역 : Ethiopia Yirgacheffe / 재배고도 : 2,150m 품종 : Heirloom / 재배시기 : 12월~3월 / 가공방식 : Natural ㅡ 에티오피아 커피 등급 G 1 . S p e c i a l t y 에티오피아의 커피 등급은 ECX 품질등급과 수출등급 두 가지 과정을 거쳐 분류된다. ECX(Ethiopia Commodity Exchange)는 에티오피아 현지에 지역별로 있는 농산물 선물거래소로, 생두 모양/크기 등 외관과 클리컵/산미/향/바디까지 따져 1차 커핑 점수를 매긴 후, 71점 이상(G3이상)이면 스페셜티 분류를 위해 2차 커핑을 다시 실시한다. 그 후 본사 ECX에서 진행하는 경매를 거쳐, 수출되기 전 CQIC(Coffee Quality Inspection Center)에서 수출을 위한 등급이 매겨진다. 우리가 흔히 알고 있는 등급은 CQIC에서 부여한 수출등급이며, 결점두의 포함정도를 축정해 등급을 구분한다. 에티오피아의 커피 등급은 생두 300g 당 결점두(defect)의 수에 따라 8등급으로 나뉜다. 결점두는 생두의 재배나 가공과정에서 생긴 비정상적 생두로, 커피의 품질을 떨어뜨린다. ㅡ 아리차 G1 내추럴 로스팅 포인트 커피그대로는 아리차 G1 내추럴 예가체프를 약배전으로 빠르게 로스팅합니다. 따라서 신맛, 콩향이 높아지고 쓴맛 바디감이 약해집니다. * 약배전, 빠른속도 = (산미)신맛, 콩향 증가 * 강배전, 느린속도 = 쓴맛, 단맛, 바디감 증가 ★ 서로 상대적입니다. 산미(신맛)이 증가하면 바디감 쓴맛이 줄고, 바디감이 증가하면, 산미(신맛)과 콩향이 줄어듭니다. 아리차 G1 내추럴 예가체프는 아로마가 매우 뛰어난 스페셜티입니다. 최대한 약배전으로 빠르게 로스팅하여 그 밝은 신맛과 다양한 아로마를 극대화 시킵니다. 여기서 중요한 것은 풍부한 향미 후에 나타나야 할 깊은 단 맛입니다. ㅡ 에티오피아를 커피의 고향이라고 하는 이유 .. 커피의 시작은 6~7세기경 에티오피아의 칼디(Kaldi)라는 목동에 의해 처음 발견되었다고 알려져 있다. 이것은 이른바 ‘칼디의 전설’이라 불리는 이야기로 별다른 이견 없이 정설로 받아들여지고 있다. 염소들이 빨간 열매(berry)를 따 먹고 흥분하여 뛰어다니는 광경을 목격한 칼디는 자신도 이 열매를 먹어보게 되었고, 그 결과 머리가 맑아지고 기분이 좋아지고 졸음을 방지하는 등 수양에 도움이 되는 신비의 열매로 알려지면서 커피는 여러 사원으로 퍼져 나갔고 이슬람 세력의 확장과 더불어 커피는 전 세계로 퍼져 나가게 되었다. Kaldi, Dancing Goats and the Discovery of the Coffee Bean ㅡ 에티오피아 예가체프(Yirgacheffe)가 유명한 이유.. 예가체프는 에티오피아 남부 SNNP(South Nations Nationalities and People)지역 내, 게데오존(Gedeo Zone)에 위치한 마을 입니다. 예가체프, 코케, 아리차, 콩가와 같이 국내 소비자들에게 널리 알려진 고급 스페셜티 커피들이 생산되는 지역이며 특히, 예가체프는 ‘커피의 귀부인’이라는 애칭이 붙을 정도로 세련된 꽃 향기와 달콤하면서 기분 좋은 산미, 부드러운 바디감으로 널리 사랑 받고 있다. 대부분의 지역이 해발고도 1,800m 이상의 고지대이며, 비옥한 적색토양과 따뜻한 날씨 덕분에 커피재배에 훌륭한 조건을 갖추고 있고, 대부분의 농장은 전통적인 방법을 고수하며 가족단위로 운영되고 있다. 예가체프는 콩의 모양이 일정치 않습니다. 예가체프는 병충해에 빈약하여 강한 농약을 사용할 수 없다. 대부분 사람손이 많이 타며 그로인해 자연커피 그 자체이다. 간 혹 예가체프의 콩이 크고 작고 비틀어졌다하여 좋지 않은 콩이라 착각하는 분들도 계신데, 이는 자연농법으로만 재배하기에 크기나 모양이 일정치 않은것이다. 분쇄선택 교환 및 반품 안내 주문 후 바로 로스팅하는 방식이므로 고객님의 주문실수, 단순변심 으로 인한 교환 및 반품이 불가 하오니 양해 부탁드립니다. </t>
  </si>
  <si>
    <t>리뷰 로 보는 활용 가이드 이 커피는 신선한 향과 깊은 맛으로 사용자를 매료시킵니다. 많은 사용자들이 뛰어난 가성비와 품질에 극찬하고 있습니다. 향이 좋은 커피 뛰어난 가성비 깊은 맛 재구매 의사 사용자 유형 — 커피의 향과 맛을 중시하는 애호가 구매 이유 — 고품질의 커피를 합리적인 가격에 찾고자 함 활용 방식 — 원두를 직접 갈아 신선한 커피로 즐김 사용 시점 — 일상적으로 커피를 즐길 때 위 내용은 구매자들의 후기를 바탕으로 요약되었습니다.</t>
  </si>
  <si>
    <t>생두 케냐 PB TOP</t>
  </si>
  <si>
    <t>커피 뮤제오</t>
  </si>
  <si>
    <t>https://godomall.speedycdn.net/1fcb1d78ee93076f13b7e849f930050a/goods/16948/image/detail/16948_detail_060.jpg</t>
  </si>
  <si>
    <t>자몽</t>
  </si>
  <si>
    <t>케냐</t>
  </si>
  <si>
    <t>SL28, SL34, Ruiru11, Batian</t>
  </si>
  <si>
    <t>Fully Washed</t>
  </si>
  <si>
    <t>생두 에티오피아 예가체프 라레사 워시드 G1</t>
  </si>
  <si>
    <t>https://godomall.speedycdn.net/1fcb1d78ee93076f13b7e849f930050a/goods/36844/image/detail/36844_detail_093.jpg</t>
  </si>
  <si>
    <t>-</t>
  </si>
  <si>
    <t>에티오피아</t>
  </si>
  <si>
    <t>Wolisho, Dega</t>
  </si>
  <si>
    <t>생두 콜롬비아 페를라델오턴 수단루메 내추럴</t>
  </si>
  <si>
    <t>https://godomall.speedycdn.net/1fcb1d78ee93076f13b7e849f930050a/goods/36809/image/detail/35033_detail_097.jpg</t>
  </si>
  <si>
    <t>Chamomile, Plum, Grape, Hibiscus, Tropical (passion fruit, mango, lychee, pineapple, apple mango)</t>
  </si>
  <si>
    <t>콜롬비아</t>
  </si>
  <si>
    <t>Sudan Rume</t>
  </si>
  <si>
    <t>생두 콜롬비아 산 라파엘 워터멜론</t>
  </si>
  <si>
    <t>https://godomall.speedycdn.net/1fcb1d78ee93076f13b7e849f930050a/goods/33844/image/detail/33844_detail_084.jpg</t>
  </si>
  <si>
    <t>Watermelon, Melon, Korea melon, Ice cream, Lingerling, Crispy</t>
  </si>
  <si>
    <t>Castillo, Caturra, Bourbon</t>
  </si>
  <si>
    <t>Yeast Fermentation Washed</t>
  </si>
  <si>
    <t>생두 에티오피아 워터 디카페인</t>
  </si>
  <si>
    <t>https://godomall.speedycdn.net/1fcb1d78ee93076f13b7e849f930050a/goods/22137/image/detail/22137_detail_019.jpg</t>
  </si>
  <si>
    <t>귤, 군고구마, 우롱차, 밀크 초콜릿, 클린</t>
  </si>
  <si>
    <t>Heirlooms</t>
  </si>
  <si>
    <t>Decaf</t>
  </si>
  <si>
    <t>생두 케냐 AA</t>
  </si>
  <si>
    <t>https://godomall.speedycdn.net/1fcb1d78ee93076f13b7e849f930050a/goods/12634/image/detail/12634_detail_037.jpg</t>
  </si>
  <si>
    <t>Orange, Grape, Good body, Medium Acidity</t>
  </si>
  <si>
    <t>SL28, SL34</t>
  </si>
  <si>
    <t>생두 예멘 모카 마타리 골드</t>
  </si>
  <si>
    <t>https://godomall.speedycdn.net/1fcb1d78ee93076f13b7e849f930050a/goods/4111/image/detail/4111_detail_010.jpg</t>
  </si>
  <si>
    <t>건포도, 다크 초콜릿, 말린 살구, 로스티드 피넛, 호두, 브라운슈거</t>
  </si>
  <si>
    <t>예멘</t>
  </si>
  <si>
    <t>Yemenia</t>
  </si>
  <si>
    <t>생두 파푸아뉴기니 마라와카 블루마운틴</t>
  </si>
  <si>
    <t>https://godomall.speedycdn.net/1fcb1d78ee93076f13b7e849f930050a/goods/10637/image/detail/10637_detail_013.jpg</t>
  </si>
  <si>
    <t>Bright acidity, Balanced, Excellent richness in the finish, Nutty and sweet</t>
  </si>
  <si>
    <t>파푸아 뉴기니</t>
  </si>
  <si>
    <t>Typica</t>
  </si>
  <si>
    <t>생두 콜롬비아 파라이소92 더블 무산소 디카페인</t>
  </si>
  <si>
    <t>https://godomall.speedycdn.net/1fcb1d78ee93076f13b7e849f930050a/goods/35174/image/detail/35174_detail_090.jpg</t>
  </si>
  <si>
    <t>Castillo</t>
  </si>
  <si>
    <t>Thermal Shock Double Anaerobic Decaf Sugar Cane</t>
  </si>
  <si>
    <t>생두 과테말라 마이크로 랏</t>
  </si>
  <si>
    <t>https://godomall.speedycdn.net/1fcb1d78ee93076f13b7e849f930050a/goods/18022/image/detail/18022_detail_074.jpg</t>
  </si>
  <si>
    <t>스모키향, 초콜릿, 쌉쌀한 단맛, 견과류 풍미</t>
  </si>
  <si>
    <t>과테말라</t>
  </si>
  <si>
    <t>Obata, Sarchimor</t>
  </si>
  <si>
    <t>생두 콜롬비아 빌라마리아 터키시딜라이트 로즈</t>
  </si>
  <si>
    <t>https://godomall.speedycdn.net/1fcb1d78ee93076f13b7e849f930050a/goods/35172/image/detail/35172_detail_054.jpg</t>
  </si>
  <si>
    <t>Floral, White Sugar, Turkish delight, Rose</t>
  </si>
  <si>
    <t>Caturra</t>
  </si>
  <si>
    <t>INFUSED FERMENTATION</t>
  </si>
  <si>
    <t>생두 인도네시아 만델링 G1</t>
  </si>
  <si>
    <t>https://godomall.speedycdn.net/1fcb1d78ee93076f13b7e849f930050a/goods/12677/image/detail/12677_detail_021.jpg</t>
  </si>
  <si>
    <t>Nutty, Walnut, Dark Chocolate, Miky Body</t>
  </si>
  <si>
    <t>인도네시아</t>
  </si>
  <si>
    <t>Sigarar Utang, Typica</t>
  </si>
  <si>
    <t>Wet-hulled</t>
  </si>
  <si>
    <t>생두 코스타리카 SHB</t>
  </si>
  <si>
    <t>https://godomall.speedycdn.net/1fcb1d78ee93076f13b7e849f930050a/goods/18026/image/detail/18026_detail_070.jpg</t>
  </si>
  <si>
    <t>Medium acidity, Grain Sweet, dark chocolate, medium body</t>
  </si>
  <si>
    <t>코스타리카</t>
  </si>
  <si>
    <t>Catuai, Caturra</t>
  </si>
  <si>
    <t>Washed/Sun Dried</t>
  </si>
  <si>
    <t>생두 콜롬비아 빌라마리아 카투라 오렌지샤베트</t>
  </si>
  <si>
    <t>https://godomall.speedycdn.net/1fcb1d78ee93076f13b7e849f930050a/goods/35170/image/detail/35170_detail_073.jpg</t>
  </si>
  <si>
    <t>Fruits, Orange blossom, Tangerine Sorbet and Brown sugar</t>
  </si>
  <si>
    <t>생두 코스타리카 레인보우 레이즌허니</t>
  </si>
  <si>
    <t>https://godomall.speedycdn.net/1fcb1d78ee93076f13b7e849f930050a/goods/35116/image/detail/35116_detail_026.jpg</t>
  </si>
  <si>
    <t>Kiwi fruit, dried pineapple, dried cranberry, raisins, cane sugar, Tieguanyin tea</t>
  </si>
  <si>
    <t>Caturra /Catuai</t>
  </si>
  <si>
    <t>Raisin Honey</t>
  </si>
  <si>
    <t>생두 콜롬비아 마이크로랏</t>
  </si>
  <si>
    <t>https://godomall.speedycdn.net/1fcb1d78ee93076f13b7e849f930050a/goods/16549/image/detail/16549_detail_044.jpg</t>
  </si>
  <si>
    <t>사과, 오렌지, 바닐라, 아몬드, 밀크초콜릿, 밸런스</t>
  </si>
  <si>
    <t>Castillo 50 %, Caturra 20 %, Colombia 30%</t>
  </si>
  <si>
    <t>생두 콜롬비아 빌라마리아 게이샤 레몬캔디</t>
  </si>
  <si>
    <t>https://godomall.speedycdn.net/1fcb1d78ee93076f13b7e849f930050a/goods/35168/image/detail/35168_detail_013.jpg</t>
  </si>
  <si>
    <t>레몬 캔디, 셔벗, 오렌지 블라썸, 자스민</t>
  </si>
  <si>
    <t>Geisha</t>
  </si>
  <si>
    <t>생두 온두라스 코판 워시드</t>
  </si>
  <si>
    <t>https://godomall.speedycdn.net/1fcb1d78ee93076f13b7e849f930050a/goods/20860/image/detail/20860_detail_024.jpg</t>
  </si>
  <si>
    <t>아몬드, 감귤, 청사과, 홍차, 브라운 슈거</t>
  </si>
  <si>
    <t>온두라스</t>
  </si>
  <si>
    <t>Catuai</t>
  </si>
  <si>
    <t>생두 코스타리카 COE#6 돈 엘리 게이샤</t>
  </si>
  <si>
    <t>https://godomall.speedycdn.net/1fcb1d78ee93076f13b7e849f930050a/goods/35616/image/detail/35616_detail_013.jpg</t>
  </si>
  <si>
    <t>Hazelnut, caramel, roasted almonds, cream, melon, sweet flavors</t>
  </si>
  <si>
    <t>생두 콜롬비아 라스 모라스 멜로니 피치</t>
  </si>
  <si>
    <t>https://godomall.speedycdn.net/1fcb1d78ee93076f13b7e849f930050a/goods/36783/image/detail/36783_detail_04.jpg</t>
  </si>
  <si>
    <t>Peach,Melon,Plum, Coconut, Orange peel / Citrus</t>
  </si>
  <si>
    <t>Dual fermentation</t>
  </si>
  <si>
    <t>생두 에티오피아 예가체프 첼베사 워시드 G1</t>
  </si>
  <si>
    <t>https://godomall.speedycdn.net/1fcb1d78ee93076f13b7e849f930050a/goods/36845/image/detail/36845_detail_094.jpg</t>
  </si>
  <si>
    <t>Mixed Heirloom (Ethiopian Landrace Varieties)</t>
  </si>
  <si>
    <t>생두 에티오피아 부쿠아벨 내추럴</t>
  </si>
  <si>
    <t>https://godomall.speedycdn.net/1fcb1d78ee93076f13b7e849f930050a/goods/36781/image/detail/36781_detail_034.jpg</t>
  </si>
  <si>
    <t>Blueberry, tropical berry, sugarcane, Rose, Apricot, Mango</t>
  </si>
  <si>
    <t>Mixed</t>
  </si>
  <si>
    <t>생두 에티오피아 시다모 G2 워시드</t>
  </si>
  <si>
    <t>https://godomall.speedycdn.net/1fcb1d78ee93076f13b7e849f930050a/goods/25883/image/detail/25883_detail_094.jpg</t>
  </si>
  <si>
    <t>Lemon, Green Tea, Caramel</t>
  </si>
  <si>
    <t>생두 파나마 2024 에스메랄다 게이샤 프라이빗컬렉션 워시드</t>
  </si>
  <si>
    <t>https://godomall.speedycdn.net/1fcb1d78ee93076f13b7e849f930050a/goods/35123/image/detail/35123_detail_047.jpg</t>
  </si>
  <si>
    <t>Jasmine, Wild Ginger Flower, Grapefruit, Green Apple, Cane Sugar, Black Tea</t>
  </si>
  <si>
    <t>파나마</t>
  </si>
  <si>
    <t>생두 하와이안 코나 팬시</t>
  </si>
  <si>
    <t>https://godomall.speedycdn.net/1fcb1d78ee93076f13b7e849f930050a/goods/23631/image/detail/23631_detail_012.jpg</t>
  </si>
  <si>
    <t>Vanilla, Almond, Green apple</t>
  </si>
  <si>
    <t>하와이</t>
  </si>
  <si>
    <t>생두 콜롬비아 슈가케인 디카페인</t>
  </si>
  <si>
    <t>https://godomall.speedycdn.net/1fcb1d78ee93076f13b7e849f930050a/goods/22419/image/detail/22419_detail_086.jpg</t>
  </si>
  <si>
    <t>Cashew Nut, Cracker, Raisin, Black Tea,Dried Apricot, Toffee, Medium Body</t>
  </si>
  <si>
    <t>Caturra, Typica, Bourbon *Supremo EP (SC 17/18)</t>
  </si>
  <si>
    <t>생두 에티오피아 예가체프 이디도 G1 워시드</t>
  </si>
  <si>
    <t>https://godomall.speedycdn.net/1fcb1d78ee93076f13b7e849f930050a/goods/36187/image/detail/36187_detail_014.jpg</t>
  </si>
  <si>
    <t>Sweet with citric acidity and a delicate mouth feel intense jasmine flavor with rose and caramel</t>
  </si>
  <si>
    <t>Kurume</t>
  </si>
  <si>
    <t>생두 페루 라 몬타냐 게이샤 워시드 1kg</t>
  </si>
  <si>
    <t>https://godomall.speedycdn.net/1fcb1d78ee93076f13b7e849f930050a/goods/35176/image/detail/35176_detail_090.jpg</t>
  </si>
  <si>
    <t>jasmin, Bergamot, Chamomile, Honey</t>
  </si>
  <si>
    <t>페루</t>
  </si>
  <si>
    <t xml:space="preserve">페르소나 블렌드 </t>
  </si>
  <si>
    <t>이디야</t>
  </si>
  <si>
    <t>https://ediyastore.com/web/product/big/202302/df1eb6815a2fdeb3068c9bfa20d4c56c.jpg</t>
  </si>
  <si>
    <t>다크 초콜릿, 캐러맬, 견과류, 부드러움</t>
  </si>
  <si>
    <t>콜롬비아, 브라질, 에티오피아</t>
  </si>
  <si>
    <t>콜롬비아 슈프리모</t>
  </si>
  <si>
    <t>바닐라, 아몬드, 고소함, 부드러움, 은은함</t>
  </si>
  <si>
    <t>케냐 오리진</t>
  </si>
  <si>
    <t>묵직함, 과일향, 신맛</t>
  </si>
  <si>
    <t>브라질 세라도</t>
  </si>
  <si>
    <t>너트류, 호두</t>
  </si>
  <si>
    <t>브라질</t>
  </si>
  <si>
    <t>에티오피아 리무</t>
  </si>
  <si>
    <t>은은함, 플로럴, 케인 슈가</t>
  </si>
  <si>
    <t>미디움 에스프레소</t>
  </si>
  <si>
    <t>브리질, 콜롬비아</t>
  </si>
  <si>
    <t>풀 어센틱</t>
  </si>
  <si>
    <t>맥심</t>
  </si>
  <si>
    <t>다크 초콜릿, 진한 로스팅 향미, 스모키함, 호두, 묵직함</t>
  </si>
  <si>
    <t>맥심의 시그니처 블렌드 라인업 중 하나인 Full Authentic은 스모키한 다크 초콜릿 향이 존재감 있게 퍼지는 커피입니다. 다크 로스팅된 원두 고유의 깊은 맛이 풍부하게 살아나죠. 커피 종류 중, 가장 깊고 진한 에스프레소만이 가진 크레마가 커피 위에 그려지는 모습을 형상화한 패키지 디자인도 함께 즐겨보세요.</t>
  </si>
  <si>
    <t>과테말라, 콜롬비아, 인도네시아, 브라질</t>
  </si>
  <si>
    <t>카페인</t>
  </si>
  <si>
    <t>블렌드</t>
  </si>
  <si>
    <t>풀 밸런스</t>
  </si>
  <si>
    <t>초콜릿, 견과류, 풍부한 향미, 높은 바디감, 벨벳 같은 부드러움</t>
  </si>
  <si>
    <t>맥심의 시그니처 블렌드 라인업 중 하나인 Full Balance는 초콜릿 향미와 묵직한 바디감, 풍부한 향미가 매력적인 커피입니다. 커피를 만드는 데 중요한 역할을 하는 토양이 가진 본연의 깊은 향을 형상화한 패키지 디자인도 함께 즐겨 보세요.</t>
  </si>
  <si>
    <t xml:space="preserve">과테말라, 코스타리카, 콜롬비아 </t>
  </si>
  <si>
    <t>미디엄 밸런스</t>
  </si>
  <si>
    <t>우수한 균형감, 아몬드, 헤이즐넛, 자몽, 달콤 쌉싸름함, 크림 같은 부드러움</t>
  </si>
  <si>
    <t>맥심의 시그니처 블렌드 라인업 중 하나인 Medium Balance는 고소한 아몬드와 달콤 쌈싸름한 자몽의 향미가 깔끔하게 발현되는 커피입니다. 균형감 있게 미드 로스팅 되어 원두 고유의 깊은 맛이 풍부하게 살아나죠. 커피의 중요한 생육 조건 중 하나인 태양의 축복을 형상화한 패키지 디자인도 함께 즐겨보세요.</t>
  </si>
  <si>
    <t>과테말라, 코스타리카, 케냐</t>
  </si>
  <si>
    <t>라이트 밸런스</t>
  </si>
  <si>
    <t>잘 익은 감귤류, 과즙, 꽃내음, 사탕수수, 긴 여운</t>
  </si>
  <si>
    <t>맥심의 시그니처 블렌드 라인업 중 하나인 Light Balance는 잘 익은 감귤의 맛과 꽃내음을 느끼기 좋은 커피입니다. 가볍게 로스팅되어, 적당한 산미와 함께 원두 고유의 달콤한 맛이 풍부하게 살아납니다. 커피가 추출되는 순간에 퍼지는 커피 방울의 신선함을 형상화한 패키지 디자인도 함께 즐겨보세요.</t>
  </si>
  <si>
    <t xml:space="preserve">에티오피아, 케냐, 과테말라 </t>
  </si>
  <si>
    <t>라이트 블로섬</t>
  </si>
  <si>
    <t>재스민, 상쾌한 산미, 살구, 홍차, 섬세함, 부드러운 단맛</t>
  </si>
  <si>
    <t>맥심의 시그니처 블렌드 라인업 중 하나인 Light Blossom은 입안에서 봄꽃처럼 만개하는 살구의 상큼한 산미를 느낄 수 있는 커피입니다. 홍차의 은은한 향미와 부드러운 단맛을 느껴보세요. 감귤류의 과육 모양을 형상화한 패키지 디자인도 함께 즐겨보세요.</t>
  </si>
  <si>
    <t>에티오피아, 케냐, 코스타리카</t>
  </si>
  <si>
    <t>벨베티 블랙</t>
  </si>
  <si>
    <t>카누</t>
  </si>
  <si>
    <t>스모키, 카카오, 벨벳, 호두, 묵직함, 달콤 쌉싸름</t>
  </si>
  <si>
    <t>중남미와 아프리카 지역의 프리미엄 원두로 다크 로스팅한 제품. 묵직한 무게감 속 스모키한 향과 달콤쌉싸름한 풍미. 그리고 벨벳처럼 중후한 목 넘김이 특징.</t>
  </si>
  <si>
    <t>과테말라, 코스타리카, 브라질, 에티오피아</t>
  </si>
  <si>
    <t>크리미 버건디</t>
  </si>
  <si>
    <t>고소함, 견과류, 크리미, 캐러맬, 밀크 초콜릿</t>
  </si>
  <si>
    <t>중남미와 아프리카 지역의 프리미엄 원두로 미디엄 로스팅한 제품. 견과류의 진하고 고소한 풍미와 적정한 산미가 균형을 이루며 크림처럼 부드러운 목 넘김이 특징.</t>
  </si>
  <si>
    <t>과테말라, 콜롬비아, 브라질, 에티오피아</t>
  </si>
  <si>
    <t>실키 베이지</t>
  </si>
  <si>
    <t>과일류, 깔끔함, 매끄러움, 재스민</t>
  </si>
  <si>
    <t>아프리카와 중남미 지역의 프리미엄 원두로 라이트 로스팅한 제품. 과일류에서느껴지는 매력적인 산미와 매끄러운 목 넘김. 깔끔한 뒷맛이 특징.</t>
  </si>
  <si>
    <t>에티오피아, 케냐, 콜롬비아, 코스타리카</t>
  </si>
  <si>
    <t>콜롬비아 톨리마</t>
  </si>
  <si>
    <t>사과, 호두, 자두, 산뜻함, 고소함</t>
  </si>
  <si>
    <t>싱글 오리진</t>
  </si>
  <si>
    <t>모모스커피 원두 콜롬비아 아폰테 디카페인 200g</t>
  </si>
  <si>
    <t>모모스커피</t>
  </si>
  <si>
    <t>https://shop-phinf.pstatic.net/20260326_29/1774509198798fVlKt_PNG/29169637600093283_1614326810.png?type=o1000</t>
  </si>
  <si>
    <t>초콜릿, 캐러맬, 아몬드</t>
  </si>
  <si>
    <t>사탕수수에서 추출한 천연 용매로 카페인을 제거해, 커피 본연의 향미를 온전히 담아냈습니다. 초콜릿의 풍미와 캐러맬 퍼지의 단맛, 구운 아몬드의 고소함과 크리미한 질감이 조화로운 커피</t>
  </si>
  <si>
    <t>디카페인</t>
  </si>
  <si>
    <t>모모스커피 원두 에티오피아 구지 우라가 시코 내추럴 디카페인 200g</t>
  </si>
  <si>
    <t>https://shop-phinf.pstatic.net/20260430_34/1777531765279XnXGW_PNG/13646783294394866_401620697.png?type=o1000</t>
  </si>
  <si>
    <t>체리, 라즈베리, 홍차, 바닐라, 화이트 초콜릿</t>
  </si>
  <si>
    <t xml:space="preserve">에티오피아 디카페인은 높은 고도와 비옥한 토양, 풍부한 강수량을 갖춘 Uraga의 원두를 사용했습니다. 숙련된 가공 노하우를 바탕으로 우수한 품질의 커피를 생산하는 이곳에서, Alemayehu Washing Station은 워시드와 내추럴 가공을 담당하며 안정적인 품질을 만들어내고 있습니다. </t>
  </si>
  <si>
    <t>Dega, Kurume</t>
  </si>
  <si>
    <t>Natural Swiss Water Decafed</t>
  </si>
  <si>
    <t>모모스커피 에스쇼콜라 블렌드 스페셜티 원두 200g</t>
  </si>
  <si>
    <t>https://shop-phinf.pstatic.net/20260318_1/1773798863075rwkaT_PNG/107931681804672631_354268074.png?type=o1000</t>
  </si>
  <si>
    <t>다크초콜릿, 단맛, 크림</t>
  </si>
  <si>
    <t>다크초콜릿을 한입 베어먹은 듯한 묵직함과 깔끔한 단맛, 크림 같은 부드러운 질감이 매력적인 커피</t>
  </si>
  <si>
    <t>콜롬비아, 코스타리카</t>
  </si>
  <si>
    <t xml:space="preserve">카페인 </t>
  </si>
  <si>
    <t>모모스커피 므쵸베리 블렌드 스페셜티 원두 200g</t>
  </si>
  <si>
    <t>https://shop-phinf.pstatic.net/20260403_176/1775178778109dIjK7_PNG/38170238213301182_1584791715.png?type=o1000</t>
  </si>
  <si>
    <t>새콤달콤, 단맛</t>
  </si>
  <si>
    <t>다양한 베리류의 새콤달콤함과 오래 지속되는 밀크초콜릿의 부드러운 단맛이 매력적인 커피</t>
  </si>
  <si>
    <t>에티오피아, 콜롬비아</t>
  </si>
  <si>
    <t>모모스커피 프루티봉봉 블렌드 스페셜티 원두 200g</t>
  </si>
  <si>
    <t>https://shop-phinf.pstatic.net/20260403_90/177517867482591K0Q_PNG/33556771115571046_1097797987.png?type=o1000</t>
  </si>
  <si>
    <t xml:space="preserve">새콤달콤, 과일 </t>
  </si>
  <si>
    <t>과일맛 사탕을 연상시키는 새콤달콤함과 쥬시함으로 청량하게 즐길 수 있는 커피</t>
  </si>
  <si>
    <t>콜롬비아, 에티오피아</t>
  </si>
  <si>
    <t>모모스커피 부산 블렌드 스페셜티 원두 200g</t>
  </si>
  <si>
    <t>https://shop-phinf.pstatic.net/20260417_100/1776388286557KIRoF_PNG/2632084659643582_1372959527.png?type=o1000</t>
  </si>
  <si>
    <t>견과류, 캐러맬, 건과일</t>
  </si>
  <si>
    <t>구운 견과류의 고소함과 캐러맬의 단향, 건과일의 은은한 산미와 허브 향의 여운이 어우러진 밀도 있는 질감의 커피</t>
  </si>
  <si>
    <t>브라질, 에티오피아</t>
  </si>
  <si>
    <t>모모스커피 원두 볼리비아 알라시타스 게이샤 코코 내추럴 100g</t>
  </si>
  <si>
    <t>100g</t>
  </si>
  <si>
    <t>https://shop-phinf.pstatic.net/20260519_143/1779165695414lnJbh_PNG/33701470841130847_1553251413.png?type=o1000</t>
  </si>
  <si>
    <t>커피 꽃, 블루베리, 버블껌, 시러피, 애플 망고</t>
  </si>
  <si>
    <t>볼리비아</t>
  </si>
  <si>
    <t>Coco Natural</t>
  </si>
  <si>
    <t>모모스커피 원두 에콰도르 라 노리아 게샤 무산소 워시드 Lot 2 100g</t>
  </si>
  <si>
    <t>https://shop-phinf.pstatic.net/20260519_170/1779165693511sfVCz_PNG/33738176128686462_1296314054.png?type=o1000</t>
  </si>
  <si>
    <t>아카시아 꽃, 살구, 호두, 황차</t>
  </si>
  <si>
    <t>에콰도르</t>
  </si>
  <si>
    <t>Gesha</t>
  </si>
  <si>
    <t>Anaerobic Washed</t>
  </si>
  <si>
    <t>모모스커피 원두 볼리비아 솔 데 라 마냐나 카투라 코코 내추럴 200g</t>
  </si>
  <si>
    <t>https://shop-phinf.pstatic.net/20260513_10/1778647189734OgCCR_PNG/763774028008623_63177714.png?type=o1000</t>
  </si>
  <si>
    <t>코코아, 자두, 메이플 시럽, 홍차</t>
  </si>
  <si>
    <t>모모스커피 원두 콜롬비아 엘 오브라헤 모카 내추럴 100g</t>
  </si>
  <si>
    <t>https://shop-phinf.pstatic.net/20260512_56/1778562372989cs1ob_PNG/93834119625101_1985848496.png?type=o1000</t>
  </si>
  <si>
    <t>밀크초콜릿, 자두, 코코아, 블랙커런트</t>
  </si>
  <si>
    <t>Moka</t>
  </si>
  <si>
    <t>모모스커피 원두 에콰도르 파야니 시드라 워시드 200g</t>
  </si>
  <si>
    <t>https://shop-phinf.pstatic.net/20260507_34/1778119581305inhgl_PNG/33932981438319952_1325192939.png?type=o1000</t>
  </si>
  <si>
    <t>건 무화과, 꿀, 매실, 루이보스차, 시러피</t>
  </si>
  <si>
    <t>Sidra</t>
  </si>
  <si>
    <t>모모스커피 원두 콜롬비아 나리뇨 콘사카 워시드 200g</t>
  </si>
  <si>
    <t>https://shop-phinf.pstatic.net/20260507_215/1778117859647QzuO4_PNG/141412097135765_1360985198.png?type=o1000</t>
  </si>
  <si>
    <t>피넛버터, 청사과, 건 살구, 캐러맬</t>
  </si>
  <si>
    <t>Caturra, Typica</t>
  </si>
  <si>
    <t>모모스커피 원두 에티오피아 첼베사 워시드 200g</t>
  </si>
  <si>
    <t>https://shop-phinf.pstatic.net/20260430_139/1777515706659cSaJy_PNG/33329106785926113_809116414.png?type=o1000</t>
  </si>
  <si>
    <t xml:space="preserve">자스민, 복숭아, 핑크 레이디 사과, 실키 </t>
  </si>
  <si>
    <t>산미강한 약배전원두 에티오피아 코케허니 예가체프 G1 스페셜티 드립 커피콩 홀빈 200g</t>
  </si>
  <si>
    <t>지로스팅</t>
  </si>
  <si>
    <t>https://shop-phinf.pstatic.net/20250707_125/17518517380569cbfX_JPEG/69545816864460471_1045518297.jpg?type=o1000</t>
  </si>
  <si>
    <t>오렌지, 바닐라, 복숭아, 장미, 블랙베리, 달콤한 과일산미, 부드러운 촉감, 부드러운 바디감</t>
  </si>
  <si>
    <t>Koke라는 이름은 코케 허니의 주 생산지인 에티오피아 예가체프 북동부에 위치한 작은 마을 이름이다. Honey는 가공방식 중 하나인 허니 프로세스를 뜻한다. 허니 프로세스는 껍질을 벗기지 않고 수분과 함께 자연건조하는 과정으로 진행되는데, 이 때 단맛이 생긴다. 커피체리의 당도를 체크한 뒤 완전히 익은 체리만을 수확하는 방식이기 때문에 특유의 단맛과 감칠맛을 지니게 된다. 지로스팅의 코케허니는 약배전으로
산미(신맛)가 높고 향이 풍부하며, 반대로 바디감과 쓴맛은 적습니다. 또한 허니 프로세싱의 단맛이 훌륭하여 인기가 높습니다.</t>
  </si>
  <si>
    <t>에티오피아 예가체프 G2 중약배전 산미있는 갓볶은 원두 커피콩 홀빈 1kg</t>
  </si>
  <si>
    <t>https://shop-phinf.pstatic.net/20250707_228/1751851075223TwWGd_JPEG/75829036986703760_605770180.jpg?type=o1000</t>
  </si>
  <si>
    <t>갈색설탕, 망고, 코코넛, 로즈마리, 깔끔한 맛, 균형 잡힌 맛, 부드럽고 균형잡힌 산미</t>
  </si>
  <si>
    <t>예가체프는 에티오피아 남부 SNNP(South Nations Nationalities and People)지역 내, 게데오존(Gedeo Zone)에 위치한 마을 입니다. 예가체프, 코케, 아리차, 콩가와 같이 국내 소비자들에게 널리 알려진 고급 스페셜티 커피들이 생산되는 지역이며 특히, 예가체프는 ‘커피의 귀부인’이라는 애칭이 붙을 정도로 세련된 꽃 향기와 달콤하면서 기분 좋은 산미, 부드러운 바디감으로 널리 사랑 받고 있다. 대부분의 지역이 해발고도 1,800m 이상의 고지대이며, 비옥한 적색토양과 따뜻한 날씨 덕분에 커피재배에 훌륭한 조건을 갖추고 있고, 대부분의 농장은 전통적인 방법을 고수하며 가족단위로 운영되고 있다. 지로스팅의 예가체프G2는 중약배전으로산미(신맛)이 적당히 있으며, 약간의 바디감을 가졌습니다. 산미가 적당히 있으면서 꽃 향기를 느끼기에 좋습니다.</t>
  </si>
  <si>
    <t>아라비카 커피원두콩 당일로스팅 브라질 세하도 NY2 맛있는 원두 홀빈 1kg</t>
  </si>
  <si>
    <t>https://shop-phinf.pstatic.net/20250928_263/1759015822625qBTlf_JPEG/93148744679010354_1731484384.jpg?type=o1000</t>
  </si>
  <si>
    <t>갈색설탕, 초콜릿, 호두, 캐러멜, 시나몬</t>
  </si>
  <si>
    <t xml:space="preserve">부드러운 향, 적당한 바디감. 로스팅 포인트 시티후반에서 잡아낸 섬세한 단맛과 호두의 향지로스팅의 세하도는 강배전으로 산미 거의 없는 커피원두입니다. </t>
  </si>
  <si>
    <t>Red, Catuai</t>
  </si>
  <si>
    <t>산미없는 고소한원두 당일로스팅 1kg 커피콩 홀빈 다크초코향 아라비카 G블렌딩 딥블랙</t>
  </si>
  <si>
    <t>https://shop-phinf.pstatic.net/20250707_106/1751851369088M34Gw_JPEG/2829539866709629_422046099.jpg?type=o1000</t>
  </si>
  <si>
    <t>다크초콜릿, 카카오, 가득한 바디감, 부드러운 단맛</t>
  </si>
  <si>
    <t>깊은 바디감의 구수함과 깊은 단맛의 고소한 후미 지로스팅의 딥블랙은 강배전으로 신맛이 없는 커피원두입니다. 따라서 높은 바디감과 단맛을 가지고 있습니다. 또한 100% 아라비카로 구성하여 고급스러운 고소함이 좋습니다.</t>
  </si>
  <si>
    <t>콜롬비아, 브라질</t>
  </si>
  <si>
    <t>예멘 모카 마타리 알함다니 세계3대커피 고소한커피원두 당일로스팅 원두홀빈 200g</t>
  </si>
  <si>
    <t>https://shop-phinf.pstatic.net/20250707_224/1751851491684ru3jF_JPEG/85984314786903526_514135067.jpg?type=o1000</t>
  </si>
  <si>
    <t>건포도, 자두, 대추차, 카카오닙스, 오트밀, 민감초, 플로럴, 복합적인, 부드러움</t>
  </si>
  <si>
    <t>모카 마타리(Mocha Mattari)는 예멘 커피 중에서도 수도 사나와 가장 가까워, 지리적으로 유리한 위치에 있는 베니 마타르(Bani Mattar)지역에서 생산하는 최고급 품종의 커피를 가리킵니다. 이 커피는 반 고흐가 좋아한 커피로 알려져 있기도 합니다. 그의 작품 중, 실제 존재하는 포룸 광장의 카페테라스에서 예멘 모카 마타리를 즐겨 마셨다고 합니다. 묵직한 바디감, 진한 다크 초콜릿 향이 매력입니다. 예멘 마타리는 중강배전으로 산미(신맛)가 적당한 커피이며, 복합적 향미의 깊은 고소한 단맛이 좋습니다.</t>
  </si>
  <si>
    <t>인도네시아 만델링 G1 원두 수마트라 구수한 강배전 갓볶은 커피홀빈 200g</t>
  </si>
  <si>
    <t>https://shop-phinf.pstatic.net/20250704_118/1751604610995WQlMb_JPEG/3207337949187042_1053293332.jpg?type=o1000</t>
  </si>
  <si>
    <t>갈색설탕, 초콜릿, 호두, 자두, 브랜디, 풍부한 바디감, 부드러운 산미, 실크 같은 촉감</t>
  </si>
  <si>
    <t>풍부한 바디감과 짙은 흙내음, 견과류의 구수함과 흑설탕의 단맛</t>
  </si>
  <si>
    <t>다크초콜릿 고소한 산미없는 원두커피콩 진한 강배전 카페용원두 G블렌딩 딥블렉 200g</t>
  </si>
  <si>
    <t>https://shop-phinf.pstatic.net/20250707_194/17518516602637lXtO_JPEG/2862046320394299_1303113983.jpg?type=o1000</t>
  </si>
  <si>
    <t>딥블렉은 강배전원두로 산미(신맛)이 거의없는 커피원두입니다. 따라서 높은 바디감과 부드러운 단맛을 가지고 있습니다. 또한 100% 아라비카로 구성한 블렌드로 고급스러운 고소함이 좋습니다.</t>
  </si>
  <si>
    <t>케냐AA 키암부 프리미엄 싱글오리진 갓볶은 고소한 중강배전 초코향 커피원두 200g</t>
  </si>
  <si>
    <t>https://shop-phinf.pstatic.net/20250704_137/1751604635108Tpjld_JPEG/26774917763357671_604447466.jpg?type=o1000</t>
  </si>
  <si>
    <t>자몽, 오렌지, 카카오, 갈색설탕, 가득한 바디, 은은한 과일산미</t>
  </si>
  <si>
    <t>19세기 후반 에티오피아를 통해 처음 커피를 도입한 케냐는 합리적인 재배, 가공, 판매 시스템과 국가 차원의 품질개발, 기술교육을 통해 아프리카를 대표하는 커피생산국으로 인정받고 있다. 대부분 1,500m 이상의 고원지대에서 커피를 재배하고 적절한 토양과 강수량, 기온 등 커피 재배에 이상적인 자연조건을 갖고 있다. 커피의 수확은 6월 중순 ~ 12월경이며, 재배 품종은 아라비타 습식법을 이용하여 가공한다. 케냐aa 키암부는 중강배전으로 산미(신맛)이 적은 커피이며, 클린한 바디감의 고소함이 좋습니다. 고급스러운 고소함을 추구하는 분들이 선호하는 커피입니다.</t>
  </si>
  <si>
    <t>과테말라 안티구아 SHB 산미없는 고소한 강배전 커피콩 원두 홀빈 200g</t>
  </si>
  <si>
    <t>https://shop-phinf.pstatic.net/20250707_154/175185175682989FqD_JPEG/6514139777777039_1444381383.jpg?type=o1000</t>
  </si>
  <si>
    <t>카카오, 호두, 다크 초콜릿, 갈색설탕, 캐러멜, 코코넛, 스모키함, 구운빵, 은은한산미, 달콤하고 깔끔한 후미, 묵직한 바디감</t>
  </si>
  <si>
    <t>활화산 후에고가 제공하는 미네랄과 무기질을 머금은 안띠구아는 고소한 호두를 넣은 진한 다크초콜릿 같다. 단맛이 그야말로 일품이다. 그래서인지 한국인에게 매우 많은 사랑을 받는 커피이다. 정말 그 지역의 풍토가 커피에 그대로 담겼다. 부드럽고 소박하지만 그 안의 강인함은 매우 매력적이다. 1750년 과테말라에 유입된 선교사들에 의해 처음 소개된 후, 1821년 스페인 식민지에서 독립하며 활발히 이주해왔던 독일 이주민들에 의해 정식산업으로 발전했다. 과테말라는 2000년 이후 스페셜티 커피 시장을 이끌며 성장하기 시작했으며, 현재 전체 인구의 1/4이 커피산업에 종사하고 있고 수출품목의 1/3이상을 커피가 차지하고 있는 등 과테말라의 주요 국가산업으로 자리 잡았다. 과테말라 커피는 지역에 따라서 맛의 차이가 있지만 과일향과 스모키한 향미를 보여주는 경우가 많은데, 그 중 스모키한 맛과 향은 과테말라의 화산토양으로 인한 것이다. 과테말라의 태평양 연안에는 무려 33개의 화산이 있으며, 활발한 화산 활동으로 축척된 풍부한 유,무기질의 토양으로 고품질의 커피재배에 좋은 환경을 갖추고 있다. 고소한 구수한 커피의 향을 다 가진 커피로서 산미(신맛)를 너무 없애면 안티구아 고유의 향미를 잃게 됨으로, 그 특징을 최대한 살리기 위해 산미(신맛)가 거의 없는(적은) 강배전으로 로스팅 합니다.</t>
  </si>
  <si>
    <t>디카페인원두 에티오피아 예가체프 짐마 마운틴워터 프로세싱 당일로스팅 커피홀빈 500g</t>
  </si>
  <si>
    <t>https://shop-phinf.pstatic.net/20250707_11/1751851422046j47N1_JPEG/85984293151356356_1104856516.jpg?type=o1000</t>
  </si>
  <si>
    <t>청포도, 녹차, 카라멜, 은은한 산미, 긴 후미, 달콤하고 깔끔한 마무리</t>
  </si>
  <si>
    <r>
      <rPr>
        <u/>
        <sz val="13"/>
        <color rgb="FF000000"/>
        <rFont val="inherit"/>
      </rPr>
      <t xml:space="preserve">에티오피아 짐마 G4 마운틴워터 디카페인 커피원두는 산뜻한 산미와 적절한 바디감이 조화로운 커피 원두로 </t>
    </r>
    <r>
      <rPr>
        <u/>
        <sz val="13"/>
        <color rgb="FF000000"/>
        <rFont val="inherit"/>
      </rPr>
      <t>그 특징을 최대한 살리기 위해 중배전으로 로스팅 합니다. 최근 들어서는 커피의 맛과 향을 즐기고는 싶지만 카페인을 섭취하고 싶지 않은 분들을 위한 디카페인 커피 원두의 수요가 늘었습니다. 커피에 들어있는 대표적 화학물질인 카페인은 중추신경에 자극을 줍니다. 커피를 마신 후에 졸음이 달아나고 긴장감을 느끼게 되는 것은 모두 카페인의 효과입니다. 모든 커피의 카페인량이 다 비슷한 것은 아니며 커피에 있는 카페인은 커피 원두의 원산지 혹은 종류나 상태에 따라 함유량이 달라지게 됩니다. 아라비카 커피 생두는 로부스타 커피 생두보다 카페인 함량이 적으며 지로스팅에서는 100% 아라비카 커피 생두만 취급하고 있습니다. 이 아라비카 생두를 화학물질 없이 자연친화적인 마운틴 워터 프로세싱 방식으로 카페인을 98% 제거한 것이 지로스팅 디카페인 커피 원두입니다.</t>
    </r>
  </si>
  <si>
    <t>디카페인원두 당일로스팅 Co2공법 콜롬비아 안티오키아 수프리모 커피 홀빈 500g</t>
  </si>
  <si>
    <t>https://shop-phinf.pstatic.net/20250707_31/1751851407268vMid8_JPEG/69545486042772491_530073811.jpg?type=o1000</t>
  </si>
  <si>
    <t>갈색설탕, 초콜릿, 바닐라, 헤이즐넛, 깔끔한 맛, 긴 후미, 밝은 산미</t>
  </si>
  <si>
    <t>깐깐한 독일의 기술력으로 탄생한 커피 원두의 맛을 잘 보존하면서도 자연과 인체에 무해한 천연 이산화탄소 방식으로 디카페인 커피 원두를 만듭니다. 독일 브레멘에 위치한 CR3 사는 1980년대부터 특허받은 천연 이산화탄소 공법으로 디카페인 커피 원두를 생산하고 있으며, 혁신적인 기술력과 깐깐한 공정으로 카페인 함유량 0.1% 수준을 유지해야 하는 유럽연합의 엄격한 기준을 충족시키고 있습니다. 이산화탄소를 활용한 공정은 고압에 노출된 이산화탄소가 초임계 유체 상태가 되는 원리를 이용해 용매처럼 활용하는 방법입니다. 이산화탄소는 무색, 무취, 무독성으로 친환경적입니다. ‘초임계(액체와 기체의 성질을 모두 가지고 있는 상태) 유체 추출’이라고도 하며 고압의 이산화탄소를 사용해 카페인을 분리하는 프로세싱입니다. 우선 밀봉할 수 있고 고 압력을 견딜 수 있는 스테인리스 설비에 생두를 넣습니다. 생두에 압력을 가한 상태에서 수증기를 쐬어 생두의 표면적을 넓게 만듭니다. 이 생두를 300기압 이상의 고압과 65도씨 이상의 액체화된 초임계 이산화탄소를 주입시키면 생두 속 카페인 성분은 초임계 상태의 이산화탄소와 결합하는데 이 결합물을 다른 통으로 옮겨 담고 압력을 줄이면 이산화탄소가 다시 기화되어 원래 가지고 있던 카페인의 최대 99.9%까지 카페인을 분리합니다. 일반적인 워터 프로세싱 공법은 생두를 뜨거운 물에 넣어 성분을 우려내고 물에서 카페인만 제거한 뒤 생두를 재투입하는 방식으로 생산 비용이 비교적 저렴하지만 뜨거운 물에 의해 생두가 가진 맛과 풍미가 손실됩니다. 그러나 비교적 최근에 생긴 천연 CO2(이산화탄소) 공법은 생두를 스테인리스 설비에 담고 고압 상태의 천연 이산화탄소 주입하는데 카페인만 흡착하는 이산화탄소의 특성 덕분에 생두의 맛과 풍미가 보존됩니다. 공정을 위한 대규모 설비가 필요해 일반적인 커피 원두보다 단가가 높은 편이지만 특별한 방식으로 생산된 만큼 카페인에 민감하지만 맛있는 디카페인 커피 원두를 찾는 분들께 딱 좋은 커피 원두입니다.</t>
  </si>
  <si>
    <t>콜롬비아 에티오피아</t>
  </si>
  <si>
    <t>코스타리카 따라주 SHB 원두 고소한 중강배전 갓볶은 커피콩 홀빈 200g</t>
  </si>
  <si>
    <t>https://shop-phinf.pstatic.net/20250707_293/1751851535620d0KTI_JPEG/13188782696923853_1830958445.jpg?type=o1000</t>
  </si>
  <si>
    <t>갈색설탕, 아몬드, 시나몬, 달콤한 빵, 견과류 단맛, 부드러운 산미, 은은한 꽃 향</t>
  </si>
  <si>
    <t>지로스팅의 따라주는 중강배전으로 산미(신맛)이 거의 없는(약한) 원두로, 의외로 구수함이 강한 커피입니다. 적당한 바디감에 구수한 단맛을 원하시면 추천드립니다.</t>
  </si>
  <si>
    <t>중배전원두 프리미엄 케냐AA PLUS 아이히더 고소한원두커피 갓볶은커피콩 홀빈 200g</t>
  </si>
  <si>
    <t>https://shop-phinf.pstatic.net/20250707_173/1751851602695c1qng_JPEG/85984477820569868_1799529841.jpg?type=o1000</t>
  </si>
  <si>
    <t>홍차, 오렌지, 아몬드, 다크초콜릿, 라임, 캐슈넛, 복숭아, 달콤한 산미, 좋은 바디감, 부드러운 촉감</t>
  </si>
  <si>
    <t>지로스팅의 케냐 아이히더는 중배전으로 산미(신맛)이 적고 향이 은은하여 밸런스가 매우 훌륭합니다. 고급스러운 다크초콜릿을 경험하실 수 있습니다.</t>
  </si>
  <si>
    <t>라떼용 중배전 원두 G블렌딩 블루라마 갓볶은 커피 홀빈 200g</t>
  </si>
  <si>
    <t>https://shop-phinf.pstatic.net/20250707_257/1751851549900qpKyR_JPEG/2861935933517885_455804430.jpg?type=o1000</t>
  </si>
  <si>
    <t>바닐라의 단맛, 알싸한 꽃향, 온화한 산미, 부드러운 바디감</t>
  </si>
  <si>
    <t>지로스팅의 블루라마는 중배전으로 적당한 산미(신맛)와 부드러운 단맛, 고소함을 고루 갖춘 밸런스 좋은 블렌드입니다. 바닐라의 단맛과 깔끔한 고소함이 좋습니다. 밀크초콜릿과 바닐라의 단맛, 알싸한 꽃향기와 온화한 산미의 만남. 부드러운 바디와 깔끔한 후미의 블렌딩</t>
  </si>
  <si>
    <t>블루라마</t>
  </si>
  <si>
    <t>당일로스팅 원두 커피콩 1kg 고소한 산미없는 카페원두 맛있는 다크 홀빈 흑당블렌딩</t>
  </si>
  <si>
    <t>백당커피공장</t>
  </si>
  <si>
    <t>https://shop-phinf.pstatic.net/20241122_42/1732239253511SiUlV_JPEG/57439346208512034_1745413715.jpg?type=o1000</t>
  </si>
  <si>
    <t>다크초코, 피넛, 우유</t>
  </si>
  <si>
    <t xml:space="preserve">초코의 진한 단맛과 고소한 부드러움, 풍성한 바디감을 가져 호불호 없는 산미(신맛)없는  커피입니다. </t>
  </si>
  <si>
    <t>브라질, 콜롬비아</t>
  </si>
  <si>
    <t>대용량 사무실 카페 업소용 원두 3kg 도매 납품 고소한 다크 흑당블렌드 갓볶은 커피콩</t>
  </si>
  <si>
    <t>3kg</t>
  </si>
  <si>
    <t>https://shop-phinf.pstatic.net/20241007_74/1728268895729cSySX_JPEG/589975845238568_425147157.jpg?type=o1000</t>
  </si>
  <si>
    <t>500g 에티오피아 예가체프 G4 산미있는 콩 아라비카 싱글오리진 갓볶은 원두 커피 홀빈</t>
  </si>
  <si>
    <t>https://shop-phinf.pstatic.net/20241120_89/1732085565441KtAJu_JPEG/66218352562018959_965561686.jpg?type=o1000</t>
  </si>
  <si>
    <t>견과류, 크림, 감귤</t>
  </si>
  <si>
    <t>감귤같은 산미와 견과류의 고소한 풍미, 부드러운 단맛과 바디감까지 산미와 단맛의 균형이 좋은 커피입니다.</t>
  </si>
  <si>
    <t>헤어룸</t>
  </si>
  <si>
    <t>내추럴</t>
  </si>
  <si>
    <t>브라질 산토스 원두 고소한 구수한 강배전 아라비카 싱글오리진 갓볶은 커피 홀빈 500g</t>
  </si>
  <si>
    <t>https://shop-phinf.pstatic.net/20250224_271/17403504837073Tbd3_JPEG/20922652273669202_527182617.jpg?type=o1000</t>
  </si>
  <si>
    <t>캐러맬, 다크초콜릿, 땅콩</t>
  </si>
  <si>
    <t xml:space="preserve">깊고 진한 훌륭한 바디감과 다크초콜릿, 구수한 단맛을 지닌 신맛(산미)없는 커피입니다. </t>
  </si>
  <si>
    <t>카투아이</t>
  </si>
  <si>
    <t>에티오피아 코케허니 예가체프G1 산미강한 약배전 스페셜티 갓볶은원두 드립 커피콩 500g</t>
  </si>
  <si>
    <t>https://shop-phinf.pstatic.net/20250220_82/1740009038465QunD5_JPEG/59564304179409149_1229750747.jpg?type=o1000</t>
  </si>
  <si>
    <t>블루베리, 잼, 바닐라</t>
  </si>
  <si>
    <t xml:space="preserve">딸기, 블루베리 같은 베류의 향과 산미, 잼을 먹는것 같은 쫀득한 단맛을 가진 신맛(산미)있는 커피입니다. </t>
  </si>
  <si>
    <t>허니프로세싱, 내추럴</t>
  </si>
  <si>
    <t>구수한 브라질 산토스 고소한맛 초코 누룽지 산미없는 싱글 원두 커피콩 갓볶은홀빈 200g</t>
  </si>
  <si>
    <t>https://shop-phinf.pstatic.net/20241122_24/1732232673163Jenwz_JPEG/13558970980820301_444912072.jpg?type=o1000</t>
  </si>
  <si>
    <t>산미높은 에티오피아 원두 코케허니 예가체프 G1 스페셜티 라이트로스팅 커피 홀빈 200g</t>
  </si>
  <si>
    <t>https://shop-phinf.pstatic.net/20250206_59/17388174540792zXuH_JPEG/72950322812209072_1383971393.jpg?type=o1000</t>
  </si>
  <si>
    <t>허니프로세싱 내추럴</t>
  </si>
  <si>
    <t>에티오피아 예가체프 G2 워시드 원두 산미있는 약중배전 당일로스팅 커피 홀빈 500g</t>
  </si>
  <si>
    <t>https://shop-phinf.pstatic.net/20250224_36/1740364808689EMPDr_JPEG/2735275781554280_28866608.jpg?type=o1000</t>
  </si>
  <si>
    <t>홍차, 쟈스민, 바닐라</t>
  </si>
  <si>
    <t xml:space="preserve">차를 마시는 듯한 가볍고 산뜻한 향과 부드러운 산미와 바닐라의 단맛을 지닌 약한 신맛을 느낄수 있는 커피입니다. </t>
  </si>
  <si>
    <t>워시드</t>
  </si>
  <si>
    <t>코스타리카원두 따라주 SHB 중배전 프리미엄 밸런스 고소한 단맛 커피콩 홀빈 500g</t>
  </si>
  <si>
    <t>https://shop-phinf.pstatic.net/20250224_191/1740364928607VHXyz_JPEG/20937097202998826_1988691106.jpg?type=o1000</t>
  </si>
  <si>
    <t>열대과일, 시럽, 피칸</t>
  </si>
  <si>
    <t>열대과일의 기분좋은 달콤산미와 설탕같은 달달한 단맛의 조화, 고소하고 부드러운 풍미가 뛰어난 커피입니다.</t>
  </si>
  <si>
    <t>카투라, 카투아이</t>
  </si>
  <si>
    <t>중배전원두 라떼용 부드러운 단맛 마일드 아라비카 백당블렌딩 홀빈 당일볶은 커피콩 500g</t>
  </si>
  <si>
    <t>https://shop-phinf.pstatic.net/20250224_289/1740364611529qzv9P_JPEG/2746589481576476_671724471.jpg?type=o1000</t>
  </si>
  <si>
    <t>감귤, 바닐라, 블루베리</t>
  </si>
  <si>
    <t>고소하고 부드러운 바닐라의 단맛, 적절한 산미에 더해진 감귤 풍미와 풍부한 바디감이 뛰어난 밸런스 커피입니다.</t>
  </si>
  <si>
    <t>에티오피아, 브라질</t>
  </si>
  <si>
    <t>에티오피아 아리차 예가체프 G1 스페셜티 원두 과일향 꽃향 싱글 커피콩 홀빈 500g</t>
  </si>
  <si>
    <t>https://shop-phinf.pstatic.net/20250224_63/1740351189779W4nIJ_JPEG/43863726774025853_1674117568.jpg?type=o1000</t>
  </si>
  <si>
    <t>살구, 장미, 망고</t>
  </si>
  <si>
    <t xml:space="preserve">달콤한 살구의 향과 은은한 장미의 향, 깔끔한 단맛과 바디감을 가진 신맛(산미) 높은 커피입니다. </t>
  </si>
  <si>
    <t>산미높은 원두 에티오피아 예가체프 스페셜티 블렌딩 초당블렌드 드롭 커피콩 홀빈 500g</t>
  </si>
  <si>
    <t>https://shop-phinf.pstatic.net/20250224_294/1740351546927skMgp_JPEG/74484437803849091_146357183.jpg?type=o1000</t>
  </si>
  <si>
    <t>라즈베리 , 달콤한 꿀, 꽃 향</t>
  </si>
  <si>
    <t xml:space="preserve">100% 스페셜티 에티오피아로 구성되어 부드러운 단맛에 대채로운 꽃과 과일향 고급스러운 신맛까지 어우러진 커피입니다. </t>
  </si>
  <si>
    <t>에티오피아 구지 시다모 G1 스페셜티 약배전 산미원두 과일향 커피콩 갓볶은 홀빈 500g</t>
  </si>
  <si>
    <t>https://shop-phinf.pstatic.net/20250224_216/1740351388337H7p5u_JPEG/16813299456338791_888199424.jpg?type=o1000</t>
  </si>
  <si>
    <t>복숭아, 꿀 ,감귤</t>
  </si>
  <si>
    <t xml:space="preserve">부드러운 감귤의 기분좋은 산미와 꿀같은 단맛이 달콤한 여운을 남기는 신맛(산미) 높은 커피입니다. </t>
  </si>
  <si>
    <t>Guatemala Antigua /</t>
    <phoneticPr fontId="25" type="noConversion"/>
  </si>
  <si>
    <t>product_origin</t>
    <phoneticPr fontId="25" type="noConversion"/>
  </si>
  <si>
    <t>variety</t>
    <phoneticPr fontId="25" type="noConversion"/>
  </si>
  <si>
    <t>processing</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</si>
</sst>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rgb="FF000000"/>
      <name val="Calibri"/>
      <scheme val="minor"/>
    </font>
    <font>
      <sz val="11"/>
      <color theme="1"/>
      <name val="Calibri"/>
      <family val="2"/>
      <scheme val="minor"/>
    </font>
    <font>
      <u/>
      <sz val="11"/>
      <color rgb="FF0563C1"/>
      <name val="Calibri"/>
      <family val="2"/>
    </font>
    <font>
      <sz val="11"/>
      <color rgb="FF000000"/>
      <name val="Malgun Gothic"/>
      <family val="3"/>
      <charset val="129"/>
    </font>
    <font>
      <u/>
      <sz val="11"/>
      <color rgb="FF0000FF"/>
      <name val="Malgun Gothic"/>
      <family val="3"/>
      <charset val="129"/>
    </font>
    <font>
      <u/>
      <sz val="11"/>
      <color rgb="FF0563C1"/>
      <name val="Malgun Gothic"/>
      <family val="3"/>
      <charset val="129"/>
    </font>
    <font>
      <u/>
      <sz val="11"/>
      <color rgb="FF0563C1"/>
      <name val="Calibri"/>
      <family val="2"/>
    </font>
    <font>
      <sz val="15"/>
      <color rgb="FF000000"/>
      <name val="-apple-system"/>
    </font>
    <font>
      <u/>
      <sz val="11"/>
      <color rgb="FF0000FF"/>
      <name val="Calibri"/>
      <family val="2"/>
    </font>
    <font>
      <sz val="12"/>
      <color rgb="FF000000"/>
      <name val="Arial"/>
      <family val="2"/>
    </font>
    <font>
      <sz val="11"/>
      <color rgb="FF000000"/>
      <name val="Se-nanumgothic"/>
    </font>
    <font>
      <sz val="12"/>
      <color rgb="FF000000"/>
      <name val="Inherit"/>
    </font>
    <font>
      <sz val="12"/>
      <color rgb="FF000000"/>
      <name val="Se-nanumgothic"/>
    </font>
    <font>
      <sz val="13"/>
      <color rgb="FF000000"/>
      <name val="Arial"/>
      <family val="2"/>
    </font>
    <font>
      <b/>
      <u/>
      <sz val="14"/>
      <color rgb="FF000000"/>
      <name val="Inherit"/>
    </font>
    <font>
      <u/>
      <sz val="12"/>
      <color rgb="FF000000"/>
      <name val="Arial"/>
      <family val="2"/>
    </font>
    <font>
      <u/>
      <sz val="14"/>
      <color rgb="FF000000"/>
      <name val="Arial"/>
      <family val="2"/>
    </font>
    <font>
      <sz val="14"/>
      <color rgb="FF000000"/>
      <name val="Arial"/>
      <family val="2"/>
    </font>
    <font>
      <sz val="11"/>
      <color rgb="FF121212"/>
      <name val="Arial"/>
      <family val="2"/>
    </font>
    <font>
      <sz val="11"/>
      <color rgb="FF333333"/>
      <name val="-apple-system"/>
    </font>
    <font>
      <sz val="12"/>
      <color rgb="FF353535"/>
      <name val="-apple-system"/>
    </font>
    <font>
      <b/>
      <sz val="12"/>
      <color rgb="FFF4569B"/>
      <name val="-apple-system"/>
    </font>
    <font>
      <sz val="12"/>
      <color rgb="FF141414"/>
      <name val="-apple-system"/>
    </font>
    <font>
      <sz val="11"/>
      <color rgb="FF000000"/>
      <name val="Arial"/>
      <family val="2"/>
    </font>
    <font>
      <u/>
      <sz val="13"/>
      <color rgb="FF000000"/>
      <name val="inherit"/>
    </font>
    <font>
      <sz val="8"/>
      <name val="Calibri"/>
      <family val="3"/>
      <charset val="129"/>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2" borderId="0" xfId="0" applyFont="1" applyFill="1" applyAlignment="1">
      <alignment vertical="center"/>
    </xf>
    <xf numFmtId="0" fontId="8" fillId="0" borderId="0" xfId="0" applyFont="1" applyAlignment="1">
      <alignment vertical="center"/>
    </xf>
    <xf numFmtId="0" fontId="9" fillId="2" borderId="0" xfId="0" applyFont="1" applyFill="1" applyAlignment="1">
      <alignment horizontal="left" vertical="center"/>
    </xf>
    <xf numFmtId="0" fontId="10" fillId="2" borderId="0" xfId="0" applyFont="1" applyFill="1" applyAlignment="1">
      <alignment horizontal="left" vertical="center"/>
    </xf>
    <xf numFmtId="0" fontId="11" fillId="0" borderId="0" xfId="0" applyFont="1" applyAlignment="1">
      <alignment horizontal="left" vertical="center" wrapText="1"/>
    </xf>
    <xf numFmtId="0" fontId="12" fillId="2" borderId="0" xfId="0" applyFont="1" applyFill="1" applyAlignment="1">
      <alignment horizontal="left" vertical="center"/>
    </xf>
    <xf numFmtId="0" fontId="13" fillId="2" borderId="0" xfId="0" applyFont="1" applyFill="1" applyAlignment="1">
      <alignment horizontal="center" vertical="center"/>
    </xf>
    <xf numFmtId="0" fontId="13" fillId="2" borderId="0" xfId="0" applyFont="1" applyFill="1" applyAlignment="1">
      <alignment horizontal="left" vertical="center"/>
    </xf>
    <xf numFmtId="0" fontId="14" fillId="0" borderId="0" xfId="0" applyFont="1" applyAlignment="1">
      <alignment horizontal="left" vertical="center"/>
    </xf>
    <xf numFmtId="0" fontId="15" fillId="2" borderId="0" xfId="0" applyFont="1" applyFill="1" applyAlignment="1">
      <alignment horizontal="left" vertical="center"/>
    </xf>
    <xf numFmtId="0" fontId="16" fillId="2" borderId="0" xfId="0" applyFont="1" applyFill="1" applyAlignment="1">
      <alignment horizontal="left" vertical="center"/>
    </xf>
    <xf numFmtId="0" fontId="17" fillId="2" borderId="0" xfId="0" applyFont="1" applyFill="1" applyAlignment="1">
      <alignment horizontal="left" vertical="center"/>
    </xf>
    <xf numFmtId="0" fontId="18" fillId="2" borderId="0" xfId="0" applyFont="1" applyFill="1" applyAlignment="1">
      <alignment vertical="center"/>
    </xf>
    <xf numFmtId="0" fontId="19" fillId="2" borderId="0" xfId="0" applyFont="1" applyFill="1" applyAlignment="1">
      <alignment horizontal="left" vertical="center"/>
    </xf>
    <xf numFmtId="0" fontId="20" fillId="2" borderId="0" xfId="0" applyFont="1" applyFill="1" applyAlignment="1">
      <alignment horizontal="left" vertical="center"/>
    </xf>
    <xf numFmtId="0" fontId="21" fillId="2" borderId="0" xfId="0" applyFont="1" applyFill="1" applyAlignment="1">
      <alignment horizontal="left" vertical="center"/>
    </xf>
    <xf numFmtId="0" fontId="22" fillId="2" borderId="0" xfId="0" applyFont="1" applyFill="1" applyAlignment="1">
      <alignment horizontal="left" vertical="center"/>
    </xf>
    <xf numFmtId="0" fontId="23" fillId="2" borderId="0" xfId="0" applyFont="1" applyFill="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odomall.speedycdn.net/1fcb1d78ee93076f13b7e849f930050a/goods/22419/image/detail/22419_detail_086.jpg" TargetMode="External"/><Relationship Id="rId21" Type="http://schemas.openxmlformats.org/officeDocument/2006/relationships/hyperlink" Target="https://godomall.speedycdn.net/1fcb1d78ee93076f13b7e849f930050a/goods/36845/image/detail/36845_detail_094.jpg" TargetMode="External"/><Relationship Id="rId42" Type="http://schemas.openxmlformats.org/officeDocument/2006/relationships/hyperlink" Target="https://ediyastore.com/web/product/big/202302/df1eb6815a2fdeb3068c9bfa20d4c56c.jpg" TargetMode="External"/><Relationship Id="rId47" Type="http://schemas.openxmlformats.org/officeDocument/2006/relationships/hyperlink" Target="https://ediyastore.com/web/product/big/202302/df1eb6815a2fdeb3068c9bfa20d4c56c.jpg" TargetMode="External"/><Relationship Id="rId63" Type="http://schemas.openxmlformats.org/officeDocument/2006/relationships/hyperlink" Target="https://shop-phinf.pstatic.net/20250707_125/17518517380569cbfX_JPEG/69545816864460471_1045518297.jpg?type=o1000" TargetMode="External"/><Relationship Id="rId68" Type="http://schemas.openxmlformats.org/officeDocument/2006/relationships/hyperlink" Target="https://shop-phinf.pstatic.net/20250704_118/1751604610995WQlMb_JPEG/3207337949187042_1053293332.jpg?type=o1000" TargetMode="External"/><Relationship Id="rId84" Type="http://schemas.openxmlformats.org/officeDocument/2006/relationships/hyperlink" Target="https://shop-phinf.pstatic.net/20250224_36/1740364808689EMPDr_JPEG/2735275781554280_28866608.jpg?type=o1000" TargetMode="External"/><Relationship Id="rId89" Type="http://schemas.openxmlformats.org/officeDocument/2006/relationships/hyperlink" Target="https://shop-phinf.pstatic.net/20250224_294/1740351546927skMgp_JPEG/74484437803849091_146357183.jpg?type=o1000" TargetMode="External"/><Relationship Id="rId16" Type="http://schemas.openxmlformats.org/officeDocument/2006/relationships/hyperlink" Target="https://godomall.speedycdn.net/1fcb1d78ee93076f13b7e849f930050a/goods/16549/image/detail/16549_detail_044.jpg" TargetMode="External"/><Relationship Id="rId11" Type="http://schemas.openxmlformats.org/officeDocument/2006/relationships/hyperlink" Target="https://godomall.speedycdn.net/1fcb1d78ee93076f13b7e849f930050a/goods/35172/image/detail/35172_detail_054.jpg" TargetMode="External"/><Relationship Id="rId32" Type="http://schemas.openxmlformats.org/officeDocument/2006/relationships/hyperlink" Target="https://ediyastore.com/web/product/big/202302/df1eb6815a2fdeb3068c9bfa20d4c56c.jpg" TargetMode="External"/><Relationship Id="rId37" Type="http://schemas.openxmlformats.org/officeDocument/2006/relationships/hyperlink" Target="https://ediyastore.com/web/product/big/202302/df1eb6815a2fdeb3068c9bfa20d4c56c.jpg" TargetMode="External"/><Relationship Id="rId53" Type="http://schemas.openxmlformats.org/officeDocument/2006/relationships/hyperlink" Target="https://shop-phinf.pstatic.net/20260403_176/1775178778109dIjK7_PNG/38170238213301182_1584791715.png?type=o1000" TargetMode="External"/><Relationship Id="rId58" Type="http://schemas.openxmlformats.org/officeDocument/2006/relationships/hyperlink" Target="https://shop-phinf.pstatic.net/20260513_10/1778647189734OgCCR_PNG/763774028008623_63177714.png?type=o1000" TargetMode="External"/><Relationship Id="rId74" Type="http://schemas.openxmlformats.org/officeDocument/2006/relationships/hyperlink" Target="https://shop-phinf.pstatic.net/20250707_293/1751851535620d0KTI_JPEG/13188782696923853_1830958445.jpg?type=o1000" TargetMode="External"/><Relationship Id="rId79" Type="http://schemas.openxmlformats.org/officeDocument/2006/relationships/hyperlink" Target="https://shop-phinf.pstatic.net/20241120_89/1732085565441KtAJu_JPEG/66218352562018959_965561686.jpg?type=o1000" TargetMode="External"/><Relationship Id="rId5" Type="http://schemas.openxmlformats.org/officeDocument/2006/relationships/hyperlink" Target="https://godomall.speedycdn.net/1fcb1d78ee93076f13b7e849f930050a/goods/22137/image/detail/22137_detail_019.jpg" TargetMode="External"/><Relationship Id="rId90" Type="http://schemas.openxmlformats.org/officeDocument/2006/relationships/hyperlink" Target="https://shop-phinf.pstatic.net/20250224_216/1740351388337H7p5u_JPEG/16813299456338791_888199424.jpg?type=o1000" TargetMode="External"/><Relationship Id="rId14" Type="http://schemas.openxmlformats.org/officeDocument/2006/relationships/hyperlink" Target="https://godomall.speedycdn.net/1fcb1d78ee93076f13b7e849f930050a/goods/35170/image/detail/35170_detail_073.jpg" TargetMode="External"/><Relationship Id="rId22" Type="http://schemas.openxmlformats.org/officeDocument/2006/relationships/hyperlink" Target="https://godomall.speedycdn.net/1fcb1d78ee93076f13b7e849f930050a/goods/36781/image/detail/36781_detail_034.jpg" TargetMode="External"/><Relationship Id="rId27" Type="http://schemas.openxmlformats.org/officeDocument/2006/relationships/hyperlink" Target="https://godomall.speedycdn.net/1fcb1d78ee93076f13b7e849f930050a/goods/36187/image/detail/36187_detail_014.jpg" TargetMode="External"/><Relationship Id="rId30" Type="http://schemas.openxmlformats.org/officeDocument/2006/relationships/hyperlink" Target="https://ediyastore.com/web/product/big/202302/df1eb6815a2fdeb3068c9bfa20d4c56c.jpg" TargetMode="External"/><Relationship Id="rId35" Type="http://schemas.openxmlformats.org/officeDocument/2006/relationships/hyperlink" Target="https://ediyastore.com/web/product/big/202302/df1eb6815a2fdeb3068c9bfa20d4c56c.jpg" TargetMode="External"/><Relationship Id="rId43" Type="http://schemas.openxmlformats.org/officeDocument/2006/relationships/hyperlink" Target="https://ediyastore.com/web/product/big/202302/df1eb6815a2fdeb3068c9bfa20d4c56c.jpg" TargetMode="External"/><Relationship Id="rId48" Type="http://schemas.openxmlformats.org/officeDocument/2006/relationships/hyperlink" Target="https://ediyastore.com/web/product/big/202302/df1eb6815a2fdeb3068c9bfa20d4c56c.jpg" TargetMode="External"/><Relationship Id="rId56" Type="http://schemas.openxmlformats.org/officeDocument/2006/relationships/hyperlink" Target="https://shop-phinf.pstatic.net/20260519_143/1779165695414lnJbh_PNG/33701470841130847_1553251413.png?type=o1000" TargetMode="External"/><Relationship Id="rId64" Type="http://schemas.openxmlformats.org/officeDocument/2006/relationships/hyperlink" Target="https://shop-phinf.pstatic.net/20250707_228/1751851075223TwWGd_JPEG/75829036986703760_605770180.jpg?type=o1000" TargetMode="External"/><Relationship Id="rId69" Type="http://schemas.openxmlformats.org/officeDocument/2006/relationships/hyperlink" Target="https://shop-phinf.pstatic.net/20250707_194/17518516602637lXtO_JPEG/2862046320394299_1303113983.jpg?type=o1000" TargetMode="External"/><Relationship Id="rId77" Type="http://schemas.openxmlformats.org/officeDocument/2006/relationships/hyperlink" Target="https://shop-phinf.pstatic.net/20241122_42/1732239253511SiUlV_JPEG/57439346208512034_1745413715.jpg?type=o1000" TargetMode="External"/><Relationship Id="rId8" Type="http://schemas.openxmlformats.org/officeDocument/2006/relationships/hyperlink" Target="https://godomall.speedycdn.net/1fcb1d78ee93076f13b7e849f930050a/goods/10637/image/detail/10637_detail_013.jpg" TargetMode="External"/><Relationship Id="rId51" Type="http://schemas.openxmlformats.org/officeDocument/2006/relationships/hyperlink" Target="https://shop-phinf.pstatic.net/20260430_34/1777531765279XnXGW_PNG/13646783294394866_401620697.png?type=o1000" TargetMode="External"/><Relationship Id="rId72" Type="http://schemas.openxmlformats.org/officeDocument/2006/relationships/hyperlink" Target="https://shop-phinf.pstatic.net/20250707_11/1751851422046j47N1_JPEG/85984293151356356_1104856516.jpg?type=o1000" TargetMode="External"/><Relationship Id="rId80" Type="http://schemas.openxmlformats.org/officeDocument/2006/relationships/hyperlink" Target="https://shop-phinf.pstatic.net/20250224_271/17403504837073Tbd3_JPEG/20922652273669202_527182617.jpg?type=o1000" TargetMode="External"/><Relationship Id="rId85" Type="http://schemas.openxmlformats.org/officeDocument/2006/relationships/hyperlink" Target="https://shop-phinf.pstatic.net/20241120_89/1732085565441KtAJu_JPEG/66218352562018959_965561686.jpg?type=o1000" TargetMode="External"/><Relationship Id="rId3" Type="http://schemas.openxmlformats.org/officeDocument/2006/relationships/hyperlink" Target="https://godomall.speedycdn.net/1fcb1d78ee93076f13b7e849f930050a/goods/36809/image/detail/35033_detail_097.jpg" TargetMode="External"/><Relationship Id="rId12" Type="http://schemas.openxmlformats.org/officeDocument/2006/relationships/hyperlink" Target="https://godomall.speedycdn.net/1fcb1d78ee93076f13b7e849f930050a/goods/12677/image/detail/12677_detail_021.jpg" TargetMode="External"/><Relationship Id="rId17" Type="http://schemas.openxmlformats.org/officeDocument/2006/relationships/hyperlink" Target="https://godomall.speedycdn.net/1fcb1d78ee93076f13b7e849f930050a/goods/35168/image/detail/35168_detail_013.jpg" TargetMode="External"/><Relationship Id="rId25" Type="http://schemas.openxmlformats.org/officeDocument/2006/relationships/hyperlink" Target="https://godomall.speedycdn.net/1fcb1d78ee93076f13b7e849f930050a/goods/23631/image/detail/23631_detail_012.jpg" TargetMode="External"/><Relationship Id="rId33" Type="http://schemas.openxmlformats.org/officeDocument/2006/relationships/hyperlink" Target="https://ediyastore.com/web/product/big/202302/df1eb6815a2fdeb3068c9bfa20d4c56c.jpg" TargetMode="External"/><Relationship Id="rId38" Type="http://schemas.openxmlformats.org/officeDocument/2006/relationships/hyperlink" Target="https://ediyastore.com/web/product/big/202302/df1eb6815a2fdeb3068c9bfa20d4c56c.jpg" TargetMode="External"/><Relationship Id="rId46" Type="http://schemas.openxmlformats.org/officeDocument/2006/relationships/hyperlink" Target="https://ediyastore.com/web/product/big/202302/df1eb6815a2fdeb3068c9bfa20d4c56c.jpg" TargetMode="External"/><Relationship Id="rId59" Type="http://schemas.openxmlformats.org/officeDocument/2006/relationships/hyperlink" Target="https://shop-phinf.pstatic.net/20260512_56/1778562372989cs1ob_PNG/93834119625101_1985848496.png?type=o1000" TargetMode="External"/><Relationship Id="rId67" Type="http://schemas.openxmlformats.org/officeDocument/2006/relationships/hyperlink" Target="https://shop-phinf.pstatic.net/20250707_224/1751851491684ru3jF_JPEG/85984314786903526_514135067.jpg?type=o1000" TargetMode="External"/><Relationship Id="rId20" Type="http://schemas.openxmlformats.org/officeDocument/2006/relationships/hyperlink" Target="https://godomall.speedycdn.net/1fcb1d78ee93076f13b7e849f930050a/goods/36783/image/detail/36783_detail_04.jpg" TargetMode="External"/><Relationship Id="rId41" Type="http://schemas.openxmlformats.org/officeDocument/2006/relationships/hyperlink" Target="https://ediyastore.com/web/product/big/202302/df1eb6815a2fdeb3068c9bfa20d4c56c.jpg" TargetMode="External"/><Relationship Id="rId54" Type="http://schemas.openxmlformats.org/officeDocument/2006/relationships/hyperlink" Target="https://shop-phinf.pstatic.net/20260403_90/177517867482591K0Q_PNG/33556771115571046_1097797987.png?type=o1000" TargetMode="External"/><Relationship Id="rId62" Type="http://schemas.openxmlformats.org/officeDocument/2006/relationships/hyperlink" Target="https://shop-phinf.pstatic.net/20260430_139/1777515706659cSaJy_PNG/33329106785926113_809116414.png?type=o1000" TargetMode="External"/><Relationship Id="rId70" Type="http://schemas.openxmlformats.org/officeDocument/2006/relationships/hyperlink" Target="https://shop-phinf.pstatic.net/20250704_137/1751604635108Tpjld_JPEG/26774917763357671_604447466.jpg?type=o1000" TargetMode="External"/><Relationship Id="rId75" Type="http://schemas.openxmlformats.org/officeDocument/2006/relationships/hyperlink" Target="https://shop-phinf.pstatic.net/20250707_173/1751851602695c1qng_JPEG/85984477820569868_1799529841.jpg?type=o1000" TargetMode="External"/><Relationship Id="rId83" Type="http://schemas.openxmlformats.org/officeDocument/2006/relationships/hyperlink" Target="https://shop-phinf.pstatic.net/20250206_59/17388174540792zXuH_JPEG/72950322812209072_1383971393.jpg?type=o1000" TargetMode="External"/><Relationship Id="rId88" Type="http://schemas.openxmlformats.org/officeDocument/2006/relationships/hyperlink" Target="https://shop-phinf.pstatic.net/20250224_63/1740351189779W4nIJ_JPEG/43863726774025853_1674117568.jpg?type=o1000" TargetMode="External"/><Relationship Id="rId91" Type="http://schemas.openxmlformats.org/officeDocument/2006/relationships/hyperlink" Target="https://shop-phinf.pstatic.net/20250220_82/1740009038465QunD5_JPEG/59564304179409149_1229750747.jpg?type=o1000" TargetMode="External"/><Relationship Id="rId1" Type="http://schemas.openxmlformats.org/officeDocument/2006/relationships/hyperlink" Target="https://godomall.speedycdn.net/1fcb1d78ee93076f13b7e849f930050a/goods/16948/image/detail/16948_detail_060.jpg" TargetMode="External"/><Relationship Id="rId6" Type="http://schemas.openxmlformats.org/officeDocument/2006/relationships/hyperlink" Target="https://godomall.speedycdn.net/1fcb1d78ee93076f13b7e849f930050a/goods/12634/image/detail/12634_detail_037.jpg" TargetMode="External"/><Relationship Id="rId15" Type="http://schemas.openxmlformats.org/officeDocument/2006/relationships/hyperlink" Target="https://godomall.speedycdn.net/1fcb1d78ee93076f13b7e849f930050a/goods/35116/image/detail/35116_detail_026.jpg" TargetMode="External"/><Relationship Id="rId23" Type="http://schemas.openxmlformats.org/officeDocument/2006/relationships/hyperlink" Target="https://godomall.speedycdn.net/1fcb1d78ee93076f13b7e849f930050a/goods/25883/image/detail/25883_detail_094.jpg" TargetMode="External"/><Relationship Id="rId28" Type="http://schemas.openxmlformats.org/officeDocument/2006/relationships/hyperlink" Target="https://godomall.speedycdn.net/1fcb1d78ee93076f13b7e849f930050a/goods/35176/image/detail/35176_detail_090.jpg" TargetMode="External"/><Relationship Id="rId36" Type="http://schemas.openxmlformats.org/officeDocument/2006/relationships/hyperlink" Target="https://ediyastore.com/web/product/big/202302/df1eb6815a2fdeb3068c9bfa20d4c56c.jpg" TargetMode="External"/><Relationship Id="rId49" Type="http://schemas.openxmlformats.org/officeDocument/2006/relationships/hyperlink" Target="https://ediyastore.com/web/product/big/202302/df1eb6815a2fdeb3068c9bfa20d4c56c.jpg" TargetMode="External"/><Relationship Id="rId57" Type="http://schemas.openxmlformats.org/officeDocument/2006/relationships/hyperlink" Target="https://shop-phinf.pstatic.net/20260519_170/1779165693511sfVCz_PNG/33738176128686462_1296314054.png?type=o1000" TargetMode="External"/><Relationship Id="rId10" Type="http://schemas.openxmlformats.org/officeDocument/2006/relationships/hyperlink" Target="https://godomall.speedycdn.net/1fcb1d78ee93076f13b7e849f930050a/goods/18022/image/detail/18022_detail_074.jpg" TargetMode="External"/><Relationship Id="rId31" Type="http://schemas.openxmlformats.org/officeDocument/2006/relationships/hyperlink" Target="https://ediyastore.com/web/product/big/202302/df1eb6815a2fdeb3068c9bfa20d4c56c.jpg" TargetMode="External"/><Relationship Id="rId44" Type="http://schemas.openxmlformats.org/officeDocument/2006/relationships/hyperlink" Target="https://ediyastore.com/web/product/big/202302/df1eb6815a2fdeb3068c9bfa20d4c56c.jpg" TargetMode="External"/><Relationship Id="rId52" Type="http://schemas.openxmlformats.org/officeDocument/2006/relationships/hyperlink" Target="https://shop-phinf.pstatic.net/20260318_1/1773798863075rwkaT_PNG/107931681804672631_354268074.png?type=o1000" TargetMode="External"/><Relationship Id="rId60" Type="http://schemas.openxmlformats.org/officeDocument/2006/relationships/hyperlink" Target="https://shop-phinf.pstatic.net/20260507_34/1778119581305inhgl_PNG/33932981438319952_1325192939.png?type=o1000" TargetMode="External"/><Relationship Id="rId65" Type="http://schemas.openxmlformats.org/officeDocument/2006/relationships/hyperlink" Target="https://shop-phinf.pstatic.net/20250928_263/1759015822625qBTlf_JPEG/93148744679010354_1731484384.jpg?type=o1000" TargetMode="External"/><Relationship Id="rId73" Type="http://schemas.openxmlformats.org/officeDocument/2006/relationships/hyperlink" Target="https://shop-phinf.pstatic.net/20250707_31/1751851407268vMid8_JPEG/69545486042772491_530073811.jpg?type=o1000" TargetMode="External"/><Relationship Id="rId78" Type="http://schemas.openxmlformats.org/officeDocument/2006/relationships/hyperlink" Target="https://shop-phinf.pstatic.net/20241007_74/1728268895729cSySX_JPEG/589975845238568_425147157.jpg?type=o1000" TargetMode="External"/><Relationship Id="rId81" Type="http://schemas.openxmlformats.org/officeDocument/2006/relationships/hyperlink" Target="https://shop-phinf.pstatic.net/20250220_82/1740009038465QunD5_JPEG/59564304179409149_1229750747.jpg?type=o1000" TargetMode="External"/><Relationship Id="rId86" Type="http://schemas.openxmlformats.org/officeDocument/2006/relationships/hyperlink" Target="https://shop-phinf.pstatic.net/20250224_191/1740364928607VHXyz_JPEG/20937097202998826_1988691106.jpg?type=o1000" TargetMode="External"/><Relationship Id="rId4" Type="http://schemas.openxmlformats.org/officeDocument/2006/relationships/hyperlink" Target="https://godomall.speedycdn.net/1fcb1d78ee93076f13b7e849f930050a/goods/33844/image/detail/33844_detail_084.jpg" TargetMode="External"/><Relationship Id="rId9" Type="http://schemas.openxmlformats.org/officeDocument/2006/relationships/hyperlink" Target="https://godomall.speedycdn.net/1fcb1d78ee93076f13b7e849f930050a/goods/35174/image/detail/35174_detail_090.jpg" TargetMode="External"/><Relationship Id="rId13" Type="http://schemas.openxmlformats.org/officeDocument/2006/relationships/hyperlink" Target="https://godomall.speedycdn.net/1fcb1d78ee93076f13b7e849f930050a/goods/18026/image/detail/18026_detail_070.jpg" TargetMode="External"/><Relationship Id="rId18" Type="http://schemas.openxmlformats.org/officeDocument/2006/relationships/hyperlink" Target="https://godomall.speedycdn.net/1fcb1d78ee93076f13b7e849f930050a/goods/20860/image/detail/20860_detail_024.jpg" TargetMode="External"/><Relationship Id="rId39" Type="http://schemas.openxmlformats.org/officeDocument/2006/relationships/hyperlink" Target="https://ediyastore.com/web/product/big/202302/df1eb6815a2fdeb3068c9bfa20d4c56c.jpg" TargetMode="External"/><Relationship Id="rId34" Type="http://schemas.openxmlformats.org/officeDocument/2006/relationships/hyperlink" Target="https://ediyastore.com/web/product/big/202302/df1eb6815a2fdeb3068c9bfa20d4c56c.jpg" TargetMode="External"/><Relationship Id="rId50" Type="http://schemas.openxmlformats.org/officeDocument/2006/relationships/hyperlink" Target="https://shop-phinf.pstatic.net/20260326_29/1774509198798fVlKt_PNG/29169637600093283_1614326810.png?type=o1000" TargetMode="External"/><Relationship Id="rId55" Type="http://schemas.openxmlformats.org/officeDocument/2006/relationships/hyperlink" Target="https://shop-phinf.pstatic.net/20260417_100/1776388286557KIRoF_PNG/2632084659643582_1372959527.png?type=o1000" TargetMode="External"/><Relationship Id="rId76" Type="http://schemas.openxmlformats.org/officeDocument/2006/relationships/hyperlink" Target="https://shop-phinf.pstatic.net/20250707_257/1751851549900qpKyR_JPEG/2861935933517885_455804430.jpg?type=o1000" TargetMode="External"/><Relationship Id="rId7" Type="http://schemas.openxmlformats.org/officeDocument/2006/relationships/hyperlink" Target="https://godomall.speedycdn.net/1fcb1d78ee93076f13b7e849f930050a/goods/4111/image/detail/4111_detail_010.jpg" TargetMode="External"/><Relationship Id="rId71" Type="http://schemas.openxmlformats.org/officeDocument/2006/relationships/hyperlink" Target="https://shop-phinf.pstatic.net/20250707_154/175185175682989FqD_JPEG/6514139777777039_1444381383.jpg?type=o1000" TargetMode="External"/><Relationship Id="rId2" Type="http://schemas.openxmlformats.org/officeDocument/2006/relationships/hyperlink" Target="https://godomall.speedycdn.net/1fcb1d78ee93076f13b7e849f930050a/goods/36844/image/detail/36844_detail_093.jpg" TargetMode="External"/><Relationship Id="rId29" Type="http://schemas.openxmlformats.org/officeDocument/2006/relationships/hyperlink" Target="https://ediyastore.com/web/product/big/202302/df1eb6815a2fdeb3068c9bfa20d4c56c.jpg" TargetMode="External"/><Relationship Id="rId24" Type="http://schemas.openxmlformats.org/officeDocument/2006/relationships/hyperlink" Target="https://godomall.speedycdn.net/1fcb1d78ee93076f13b7e849f930050a/goods/35123/image/detail/35123_detail_047.jpg" TargetMode="External"/><Relationship Id="rId40" Type="http://schemas.openxmlformats.org/officeDocument/2006/relationships/hyperlink" Target="https://ediyastore.com/web/product/big/202302/df1eb6815a2fdeb3068c9bfa20d4c56c.jpg" TargetMode="External"/><Relationship Id="rId45" Type="http://schemas.openxmlformats.org/officeDocument/2006/relationships/hyperlink" Target="https://ediyastore.com/web/product/big/202302/df1eb6815a2fdeb3068c9bfa20d4c56c.jpg" TargetMode="External"/><Relationship Id="rId66" Type="http://schemas.openxmlformats.org/officeDocument/2006/relationships/hyperlink" Target="https://shop-phinf.pstatic.net/20250707_106/1751851369088M34Gw_JPEG/2829539866709629_422046099.jpg?type=o1000" TargetMode="External"/><Relationship Id="rId87" Type="http://schemas.openxmlformats.org/officeDocument/2006/relationships/hyperlink" Target="https://shop-phinf.pstatic.net/20250224_289/1740364611529qzv9P_JPEG/2746589481576476_671724471.jpg?type=o1000" TargetMode="External"/><Relationship Id="rId61" Type="http://schemas.openxmlformats.org/officeDocument/2006/relationships/hyperlink" Target="https://shop-phinf.pstatic.net/20260507_215/1778117859647QzuO4_PNG/141412097135765_1360985198.png?type=o1000" TargetMode="External"/><Relationship Id="rId82" Type="http://schemas.openxmlformats.org/officeDocument/2006/relationships/hyperlink" Target="https://shop-phinf.pstatic.net/20241122_24/1732232673163Jenwz_JPEG/13558970980820301_444912072.jpg?type=o1000" TargetMode="External"/><Relationship Id="rId19" Type="http://schemas.openxmlformats.org/officeDocument/2006/relationships/hyperlink" Target="https://godomall.speedycdn.net/1fcb1d78ee93076f13b7e849f930050a/goods/35616/image/detail/35616_detail_01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7"/>
  <sheetViews>
    <sheetView tabSelected="1" topLeftCell="C1" workbookViewId="0">
      <pane ySplit="1" topLeftCell="A2" activePane="bottomLeft" state="frozen"/>
      <selection pane="bottomLeft" activeCell="J1" sqref="J1"/>
    </sheetView>
  </sheetViews>
  <sheetFormatPr defaultColWidth="14.44140625" defaultRowHeight="15" customHeight="1"/>
  <cols>
    <col min="1" max="1" width="75.6640625" customWidth="1"/>
    <col min="2" max="2" width="11" customWidth="1"/>
    <col min="3" max="3" width="9.6640625" customWidth="1"/>
    <col min="4" max="5" width="9" customWidth="1"/>
    <col min="6" max="6" width="10.88671875" customWidth="1"/>
    <col min="7" max="7" width="13.109375" customWidth="1"/>
    <col min="8" max="9" width="9" customWidth="1"/>
    <col min="10" max="10" width="17" customWidth="1"/>
    <col min="11" max="11" width="14.44140625" customWidth="1"/>
    <col min="12" max="12" width="9" customWidth="1"/>
    <col min="13" max="13" width="10.109375" customWidth="1"/>
    <col min="14" max="25" width="9" customWidth="1"/>
  </cols>
  <sheetData>
    <row r="1" spans="1:19" ht="15" customHeight="1">
      <c r="A1" s="1" t="s">
        <v>0</v>
      </c>
      <c r="B1" s="1" t="s">
        <v>1</v>
      </c>
      <c r="C1" s="1" t="s">
        <v>2</v>
      </c>
      <c r="D1" s="1" t="s">
        <v>3</v>
      </c>
      <c r="E1" s="1" t="s">
        <v>4</v>
      </c>
      <c r="F1" s="1" t="s">
        <v>5</v>
      </c>
      <c r="G1" s="1" t="s">
        <v>6</v>
      </c>
      <c r="H1" s="1" t="s">
        <v>520</v>
      </c>
      <c r="I1" s="1" t="s">
        <v>521</v>
      </c>
      <c r="J1" s="1" t="s">
        <v>522</v>
      </c>
      <c r="K1" s="1" t="s">
        <v>7</v>
      </c>
      <c r="L1" s="1" t="s">
        <v>8</v>
      </c>
      <c r="M1" s="1" t="s">
        <v>9</v>
      </c>
      <c r="N1" s="1" t="s">
        <v>10</v>
      </c>
      <c r="O1" s="1" t="s">
        <v>11</v>
      </c>
      <c r="P1" s="1" t="s">
        <v>12</v>
      </c>
      <c r="Q1" s="1" t="s">
        <v>13</v>
      </c>
      <c r="R1" s="1" t="s">
        <v>14</v>
      </c>
      <c r="S1" s="1" t="s">
        <v>15</v>
      </c>
    </row>
    <row r="2" spans="1:19" ht="15.75" customHeight="1">
      <c r="A2" s="1" t="s">
        <v>16</v>
      </c>
      <c r="B2" s="1" t="s">
        <v>17</v>
      </c>
      <c r="C2" s="1" t="s">
        <v>18</v>
      </c>
      <c r="D2" s="1" t="s">
        <v>19</v>
      </c>
      <c r="E2" s="1" t="s">
        <v>20</v>
      </c>
      <c r="F2" s="1" t="s">
        <v>21</v>
      </c>
      <c r="G2" s="1" t="s">
        <v>22</v>
      </c>
      <c r="H2" s="1" t="s">
        <v>519</v>
      </c>
      <c r="I2" s="1" t="s">
        <v>23</v>
      </c>
      <c r="J2" s="1" t="s">
        <v>24</v>
      </c>
      <c r="K2" s="1" t="s">
        <v>25</v>
      </c>
      <c r="L2" s="1" t="b">
        <v>0</v>
      </c>
      <c r="M2" s="1" t="s">
        <v>26</v>
      </c>
      <c r="N2" s="1">
        <v>1</v>
      </c>
      <c r="O2" s="1">
        <v>3</v>
      </c>
      <c r="P2" s="1">
        <v>3.5</v>
      </c>
      <c r="Q2" s="1">
        <v>4</v>
      </c>
      <c r="R2" s="1">
        <v>4</v>
      </c>
      <c r="S2" s="1">
        <v>3</v>
      </c>
    </row>
    <row r="3" spans="1:19" ht="15.75" customHeight="1">
      <c r="A3" s="1" t="s">
        <v>27</v>
      </c>
      <c r="B3" s="1" t="s">
        <v>17</v>
      </c>
      <c r="C3" s="1" t="s">
        <v>18</v>
      </c>
      <c r="D3" s="1" t="s">
        <v>28</v>
      </c>
      <c r="E3" s="1" t="s">
        <v>29</v>
      </c>
      <c r="F3" s="1" t="s">
        <v>30</v>
      </c>
      <c r="G3" s="1" t="s">
        <v>31</v>
      </c>
      <c r="H3" s="1" t="s">
        <v>32</v>
      </c>
      <c r="I3" s="1" t="s">
        <v>33</v>
      </c>
      <c r="J3" s="1" t="s">
        <v>34</v>
      </c>
      <c r="K3" s="1" t="s">
        <v>35</v>
      </c>
      <c r="L3" s="1" t="b">
        <v>0</v>
      </c>
      <c r="M3" s="1" t="s">
        <v>26</v>
      </c>
      <c r="N3" s="1">
        <v>5</v>
      </c>
      <c r="O3" s="1">
        <v>2.5</v>
      </c>
      <c r="P3" s="1">
        <v>7</v>
      </c>
      <c r="Q3" s="1">
        <v>2</v>
      </c>
      <c r="R3" s="1">
        <v>4.5</v>
      </c>
      <c r="S3" s="1">
        <v>4</v>
      </c>
    </row>
    <row r="4" spans="1:19" ht="15.75" customHeight="1">
      <c r="A4" s="1" t="s">
        <v>36</v>
      </c>
      <c r="B4" s="1" t="s">
        <v>17</v>
      </c>
      <c r="C4" s="1" t="s">
        <v>18</v>
      </c>
      <c r="D4" s="1" t="s">
        <v>37</v>
      </c>
      <c r="E4" s="1" t="s">
        <v>38</v>
      </c>
      <c r="F4" s="1" t="s">
        <v>39</v>
      </c>
      <c r="G4" s="1" t="s">
        <v>40</v>
      </c>
      <c r="K4" s="1" t="s">
        <v>41</v>
      </c>
      <c r="L4" s="1" t="b">
        <v>0</v>
      </c>
      <c r="M4" s="1" t="s">
        <v>42</v>
      </c>
      <c r="N4" s="1">
        <v>0.5</v>
      </c>
      <c r="O4" s="1">
        <v>3</v>
      </c>
      <c r="P4" s="1">
        <v>3.5</v>
      </c>
      <c r="Q4" s="1">
        <v>4</v>
      </c>
      <c r="R4" s="1">
        <v>5</v>
      </c>
      <c r="S4" s="1">
        <v>2.5</v>
      </c>
    </row>
    <row r="5" spans="1:19" ht="15.75" customHeight="1">
      <c r="A5" s="1" t="s">
        <v>43</v>
      </c>
      <c r="B5" s="1" t="s">
        <v>17</v>
      </c>
      <c r="C5" s="1" t="s">
        <v>18</v>
      </c>
      <c r="D5" s="1" t="s">
        <v>44</v>
      </c>
      <c r="E5" s="1" t="s">
        <v>45</v>
      </c>
      <c r="F5" s="1" t="s">
        <v>46</v>
      </c>
      <c r="G5" s="1" t="s">
        <v>47</v>
      </c>
      <c r="H5" s="1" t="s">
        <v>48</v>
      </c>
      <c r="I5" s="1" t="s">
        <v>33</v>
      </c>
      <c r="J5" s="1" t="s">
        <v>49</v>
      </c>
      <c r="K5" s="1" t="s">
        <v>50</v>
      </c>
      <c r="L5" s="1" t="b">
        <v>1</v>
      </c>
      <c r="M5" s="1" t="s">
        <v>26</v>
      </c>
      <c r="N5" s="1">
        <v>2</v>
      </c>
      <c r="O5" s="1">
        <v>3</v>
      </c>
      <c r="P5" s="1">
        <v>3</v>
      </c>
      <c r="Q5" s="1">
        <v>3</v>
      </c>
      <c r="R5" s="1">
        <v>3</v>
      </c>
      <c r="S5" s="1">
        <v>2</v>
      </c>
    </row>
    <row r="6" spans="1:19" ht="15.75" customHeight="1">
      <c r="A6" s="1" t="s">
        <v>51</v>
      </c>
      <c r="B6" s="1" t="s">
        <v>17</v>
      </c>
      <c r="C6" s="1" t="s">
        <v>18</v>
      </c>
      <c r="D6" s="1" t="s">
        <v>52</v>
      </c>
      <c r="E6" s="1" t="s">
        <v>53</v>
      </c>
      <c r="F6" s="1" t="s">
        <v>54</v>
      </c>
      <c r="G6" s="1" t="s">
        <v>55</v>
      </c>
      <c r="H6" s="1" t="s">
        <v>56</v>
      </c>
      <c r="I6" s="1" t="s">
        <v>57</v>
      </c>
      <c r="J6" s="1" t="s">
        <v>24</v>
      </c>
      <c r="K6" s="1" t="s">
        <v>58</v>
      </c>
      <c r="L6" s="1" t="b">
        <v>0</v>
      </c>
      <c r="M6" s="1" t="s">
        <v>26</v>
      </c>
      <c r="N6" s="1">
        <v>2.5</v>
      </c>
      <c r="O6" s="1">
        <v>4</v>
      </c>
      <c r="P6" s="1">
        <v>3</v>
      </c>
      <c r="Q6" s="1">
        <v>3</v>
      </c>
      <c r="R6" s="1">
        <v>3.5</v>
      </c>
      <c r="S6" s="1">
        <v>3</v>
      </c>
    </row>
    <row r="7" spans="1:19" ht="15.75" customHeight="1">
      <c r="A7" s="1" t="s">
        <v>59</v>
      </c>
      <c r="B7" s="1" t="s">
        <v>17</v>
      </c>
      <c r="C7" s="1" t="s">
        <v>18</v>
      </c>
      <c r="D7" s="1" t="s">
        <v>60</v>
      </c>
      <c r="E7" s="1" t="s">
        <v>61</v>
      </c>
      <c r="F7" s="1" t="s">
        <v>62</v>
      </c>
      <c r="G7" s="1" t="s">
        <v>63</v>
      </c>
      <c r="H7" s="1" t="s">
        <v>64</v>
      </c>
      <c r="I7" s="1" t="s">
        <v>65</v>
      </c>
      <c r="J7" s="1" t="s">
        <v>24</v>
      </c>
      <c r="K7" s="1" t="s">
        <v>66</v>
      </c>
      <c r="L7" s="1" t="b">
        <v>0</v>
      </c>
      <c r="M7" s="1" t="s">
        <v>26</v>
      </c>
      <c r="N7" s="1">
        <v>2</v>
      </c>
      <c r="O7" s="1">
        <v>3.5</v>
      </c>
      <c r="P7" s="1">
        <v>3</v>
      </c>
      <c r="Q7" s="1">
        <v>3</v>
      </c>
      <c r="R7" s="1">
        <v>3.5</v>
      </c>
      <c r="S7" s="1">
        <v>3</v>
      </c>
    </row>
    <row r="8" spans="1:19" ht="15.75" customHeight="1">
      <c r="A8" s="1" t="s">
        <v>67</v>
      </c>
      <c r="B8" s="1" t="s">
        <v>17</v>
      </c>
      <c r="C8" s="1" t="s">
        <v>68</v>
      </c>
      <c r="D8" s="1" t="s">
        <v>69</v>
      </c>
      <c r="E8" s="1" t="s">
        <v>70</v>
      </c>
      <c r="F8" s="1" t="s">
        <v>71</v>
      </c>
      <c r="G8" s="1" t="s">
        <v>72</v>
      </c>
      <c r="K8" s="1" t="s">
        <v>73</v>
      </c>
      <c r="L8" s="1" t="b">
        <v>0</v>
      </c>
      <c r="M8" s="1" t="s">
        <v>42</v>
      </c>
      <c r="N8" s="1" t="s">
        <v>71</v>
      </c>
      <c r="O8" s="1" t="s">
        <v>71</v>
      </c>
      <c r="P8" s="1" t="s">
        <v>71</v>
      </c>
      <c r="Q8" s="1" t="s">
        <v>71</v>
      </c>
      <c r="R8" s="1" t="s">
        <v>71</v>
      </c>
      <c r="S8" s="1" t="s">
        <v>71</v>
      </c>
    </row>
    <row r="9" spans="1:19" ht="15.75" customHeight="1">
      <c r="A9" s="1" t="s">
        <v>74</v>
      </c>
      <c r="B9" s="1" t="s">
        <v>17</v>
      </c>
      <c r="C9" s="1" t="s">
        <v>18</v>
      </c>
      <c r="D9" s="1" t="s">
        <v>19</v>
      </c>
      <c r="E9" s="1" t="s">
        <v>75</v>
      </c>
      <c r="F9" s="1" t="s">
        <v>76</v>
      </c>
      <c r="G9" s="1" t="s">
        <v>77</v>
      </c>
      <c r="H9" s="1" t="s">
        <v>32</v>
      </c>
      <c r="I9" s="1" t="s">
        <v>33</v>
      </c>
      <c r="J9" s="1" t="s">
        <v>24</v>
      </c>
      <c r="K9" s="1" t="s">
        <v>78</v>
      </c>
      <c r="L9" s="1" t="b">
        <v>0</v>
      </c>
      <c r="M9" s="1" t="s">
        <v>42</v>
      </c>
      <c r="N9" s="1">
        <v>2</v>
      </c>
      <c r="O9" s="1">
        <v>3</v>
      </c>
      <c r="P9" s="1">
        <v>2</v>
      </c>
      <c r="Q9" s="1">
        <v>3</v>
      </c>
      <c r="R9" s="1">
        <v>3.5</v>
      </c>
      <c r="S9" s="1">
        <v>3</v>
      </c>
    </row>
    <row r="10" spans="1:19" ht="15.75" customHeight="1">
      <c r="A10" s="1" t="s">
        <v>79</v>
      </c>
      <c r="B10" s="1" t="s">
        <v>17</v>
      </c>
      <c r="C10" s="1" t="s">
        <v>18</v>
      </c>
      <c r="D10" s="1" t="s">
        <v>80</v>
      </c>
      <c r="E10" s="1" t="s">
        <v>81</v>
      </c>
      <c r="F10" s="1" t="s">
        <v>82</v>
      </c>
      <c r="G10" s="1" t="s">
        <v>83</v>
      </c>
      <c r="H10" s="1" t="s">
        <v>84</v>
      </c>
      <c r="I10" s="1" t="s">
        <v>85</v>
      </c>
      <c r="J10" s="1" t="s">
        <v>86</v>
      </c>
      <c r="K10" s="1" t="s">
        <v>87</v>
      </c>
      <c r="L10" s="1" t="b">
        <v>0</v>
      </c>
      <c r="M10" s="1" t="s">
        <v>26</v>
      </c>
      <c r="N10" s="1">
        <v>2</v>
      </c>
      <c r="O10" s="1">
        <v>3</v>
      </c>
      <c r="P10" s="1">
        <v>2.5</v>
      </c>
      <c r="Q10" s="1">
        <v>3</v>
      </c>
      <c r="R10" s="1">
        <v>4</v>
      </c>
      <c r="S10" s="1">
        <v>3</v>
      </c>
    </row>
    <row r="11" spans="1:19" ht="15.75" customHeight="1">
      <c r="A11" s="1" t="s">
        <v>88</v>
      </c>
      <c r="B11" s="1" t="s">
        <v>17</v>
      </c>
      <c r="C11" s="1" t="s">
        <v>18</v>
      </c>
      <c r="D11" s="1" t="s">
        <v>89</v>
      </c>
      <c r="E11" s="1" t="s">
        <v>90</v>
      </c>
      <c r="F11" s="1" t="s">
        <v>91</v>
      </c>
      <c r="G11" s="1" t="s">
        <v>92</v>
      </c>
      <c r="H11" s="1" t="s">
        <v>93</v>
      </c>
      <c r="I11" s="1" t="s">
        <v>33</v>
      </c>
      <c r="J11" s="1" t="s">
        <v>24</v>
      </c>
      <c r="K11" s="1" t="s">
        <v>94</v>
      </c>
      <c r="L11" s="1" t="b">
        <v>0</v>
      </c>
      <c r="M11" s="1" t="s">
        <v>26</v>
      </c>
      <c r="N11" s="1">
        <v>4</v>
      </c>
      <c r="O11" s="1">
        <v>3</v>
      </c>
      <c r="P11" s="1">
        <v>7</v>
      </c>
      <c r="Q11" s="1">
        <v>3.5</v>
      </c>
      <c r="R11" s="1">
        <v>3.5</v>
      </c>
      <c r="S11" s="1">
        <v>4</v>
      </c>
    </row>
    <row r="12" spans="1:19" ht="15.75" customHeight="1">
      <c r="A12" s="1" t="s">
        <v>95</v>
      </c>
      <c r="B12" s="1" t="s">
        <v>17</v>
      </c>
      <c r="C12" s="1" t="s">
        <v>18</v>
      </c>
      <c r="D12" s="1" t="s">
        <v>96</v>
      </c>
      <c r="E12" s="1" t="s">
        <v>97</v>
      </c>
      <c r="F12" s="1" t="s">
        <v>98</v>
      </c>
      <c r="G12" s="1" t="s">
        <v>99</v>
      </c>
      <c r="H12" s="1" t="s">
        <v>100</v>
      </c>
      <c r="I12" s="1" t="s">
        <v>101</v>
      </c>
      <c r="J12" s="1" t="s">
        <v>24</v>
      </c>
      <c r="K12" s="1" t="s">
        <v>102</v>
      </c>
      <c r="L12" s="1" t="b">
        <v>0</v>
      </c>
      <c r="M12" s="1" t="s">
        <v>26</v>
      </c>
      <c r="N12" s="1">
        <v>1.5</v>
      </c>
      <c r="O12" s="1">
        <v>3</v>
      </c>
      <c r="P12" s="1">
        <v>3.5</v>
      </c>
      <c r="Q12" s="1">
        <v>3.5</v>
      </c>
      <c r="R12" s="1">
        <v>3.5</v>
      </c>
      <c r="S12" s="1">
        <v>2.5</v>
      </c>
    </row>
    <row r="13" spans="1:19" ht="15.75" customHeight="1">
      <c r="A13" s="1" t="s">
        <v>103</v>
      </c>
      <c r="B13" s="1" t="s">
        <v>17</v>
      </c>
      <c r="C13" s="1" t="s">
        <v>18</v>
      </c>
      <c r="D13" s="1" t="s">
        <v>104</v>
      </c>
      <c r="E13" s="1" t="s">
        <v>105</v>
      </c>
      <c r="F13" s="1" t="s">
        <v>106</v>
      </c>
      <c r="G13" s="1" t="s">
        <v>107</v>
      </c>
      <c r="H13" s="1" t="s">
        <v>108</v>
      </c>
      <c r="I13" s="1" t="s">
        <v>109</v>
      </c>
      <c r="J13" s="1" t="s">
        <v>110</v>
      </c>
      <c r="K13" s="1" t="s">
        <v>111</v>
      </c>
      <c r="L13" s="1" t="b">
        <v>0</v>
      </c>
      <c r="M13" s="1" t="s">
        <v>26</v>
      </c>
      <c r="N13" s="1">
        <v>1</v>
      </c>
      <c r="O13" s="1">
        <v>2</v>
      </c>
      <c r="P13" s="1">
        <v>3</v>
      </c>
      <c r="Q13" s="1">
        <v>3</v>
      </c>
      <c r="R13" s="1">
        <v>3</v>
      </c>
      <c r="S13" s="1">
        <v>2</v>
      </c>
    </row>
    <row r="14" spans="1:19" ht="15.75" customHeight="1">
      <c r="A14" s="1" t="s">
        <v>112</v>
      </c>
      <c r="B14" s="1" t="s">
        <v>17</v>
      </c>
      <c r="C14" s="1" t="s">
        <v>18</v>
      </c>
      <c r="D14" s="1" t="s">
        <v>113</v>
      </c>
      <c r="E14" s="1" t="s">
        <v>114</v>
      </c>
      <c r="F14" s="1" t="s">
        <v>115</v>
      </c>
      <c r="G14" s="1" t="s">
        <v>116</v>
      </c>
      <c r="H14" s="1" t="s">
        <v>117</v>
      </c>
      <c r="I14" s="1" t="s">
        <v>118</v>
      </c>
      <c r="J14" s="1" t="s">
        <v>110</v>
      </c>
      <c r="K14" s="1" t="s">
        <v>119</v>
      </c>
      <c r="L14" s="1" t="b">
        <v>0</v>
      </c>
      <c r="M14" s="1" t="s">
        <v>42</v>
      </c>
      <c r="N14" s="1">
        <v>1</v>
      </c>
      <c r="O14" s="1">
        <v>3</v>
      </c>
      <c r="P14" s="1">
        <v>3</v>
      </c>
      <c r="Q14" s="1">
        <v>3</v>
      </c>
      <c r="R14" s="1">
        <v>3</v>
      </c>
      <c r="S14" s="1">
        <v>2</v>
      </c>
    </row>
    <row r="15" spans="1:19" ht="15.75" customHeight="1">
      <c r="A15" s="1" t="s">
        <v>120</v>
      </c>
      <c r="B15" s="1" t="s">
        <v>17</v>
      </c>
      <c r="C15" s="1" t="s">
        <v>18</v>
      </c>
      <c r="D15" s="1" t="s">
        <v>121</v>
      </c>
      <c r="E15" s="1" t="s">
        <v>122</v>
      </c>
      <c r="F15" s="1" t="s">
        <v>123</v>
      </c>
      <c r="G15" s="1" t="s">
        <v>124</v>
      </c>
      <c r="H15" s="1" t="s">
        <v>125</v>
      </c>
      <c r="I15" s="1" t="s">
        <v>126</v>
      </c>
      <c r="J15" s="1" t="s">
        <v>127</v>
      </c>
      <c r="K15" s="1" t="s">
        <v>128</v>
      </c>
      <c r="L15" s="1" t="b">
        <v>0</v>
      </c>
      <c r="M15" s="1" t="s">
        <v>26</v>
      </c>
      <c r="N15" s="1">
        <v>1</v>
      </c>
      <c r="O15" s="1">
        <v>3.5</v>
      </c>
      <c r="P15" s="1">
        <v>4</v>
      </c>
      <c r="Q15" s="1">
        <v>4.5</v>
      </c>
      <c r="R15" s="1">
        <v>4</v>
      </c>
      <c r="S15" s="1">
        <v>3</v>
      </c>
    </row>
    <row r="16" spans="1:19" ht="15.75" customHeight="1">
      <c r="A16" s="1" t="s">
        <v>129</v>
      </c>
      <c r="B16" s="1" t="s">
        <v>17</v>
      </c>
      <c r="C16" s="1" t="s">
        <v>18</v>
      </c>
      <c r="D16" s="1" t="s">
        <v>130</v>
      </c>
      <c r="E16" s="1" t="s">
        <v>131</v>
      </c>
      <c r="F16" s="1" t="s">
        <v>132</v>
      </c>
      <c r="G16" s="1" t="s">
        <v>133</v>
      </c>
      <c r="K16" s="1" t="s">
        <v>134</v>
      </c>
      <c r="L16" s="1" t="b">
        <v>0</v>
      </c>
      <c r="M16" s="1" t="s">
        <v>42</v>
      </c>
      <c r="N16" s="1">
        <v>2.5</v>
      </c>
      <c r="O16" s="1">
        <v>3.5</v>
      </c>
      <c r="P16" s="1">
        <v>2</v>
      </c>
      <c r="Q16" s="1">
        <v>3</v>
      </c>
      <c r="R16" s="1">
        <v>4</v>
      </c>
      <c r="S16" s="1">
        <v>3</v>
      </c>
    </row>
    <row r="17" spans="1:19" ht="15.75" customHeight="1">
      <c r="A17" s="1" t="s">
        <v>135</v>
      </c>
      <c r="B17" s="1" t="s">
        <v>17</v>
      </c>
      <c r="C17" s="1" t="s">
        <v>136</v>
      </c>
      <c r="D17" s="1" t="s">
        <v>137</v>
      </c>
      <c r="E17" s="1" t="s">
        <v>138</v>
      </c>
      <c r="F17" s="1" t="s">
        <v>71</v>
      </c>
      <c r="G17" s="1" t="s">
        <v>139</v>
      </c>
      <c r="K17" s="1" t="s">
        <v>73</v>
      </c>
      <c r="L17" s="1" t="b">
        <v>1</v>
      </c>
      <c r="M17" s="1" t="s">
        <v>42</v>
      </c>
      <c r="N17" s="1" t="s">
        <v>71</v>
      </c>
      <c r="O17" s="1" t="s">
        <v>71</v>
      </c>
      <c r="P17" s="1" t="s">
        <v>71</v>
      </c>
      <c r="Q17" s="1" t="s">
        <v>71</v>
      </c>
      <c r="R17" s="1" t="s">
        <v>71</v>
      </c>
      <c r="S17" s="1" t="s">
        <v>71</v>
      </c>
    </row>
    <row r="18" spans="1:19" ht="15.75" customHeight="1">
      <c r="A18" s="1" t="s">
        <v>140</v>
      </c>
      <c r="B18" s="1" t="s">
        <v>17</v>
      </c>
      <c r="C18" s="1" t="s">
        <v>18</v>
      </c>
      <c r="D18" s="1" t="s">
        <v>96</v>
      </c>
      <c r="E18" s="1" t="s">
        <v>141</v>
      </c>
      <c r="F18" s="1" t="s">
        <v>142</v>
      </c>
      <c r="G18" s="1" t="s">
        <v>143</v>
      </c>
      <c r="K18" s="1" t="s">
        <v>144</v>
      </c>
      <c r="L18" s="1" t="b">
        <v>0</v>
      </c>
      <c r="M18" s="1" t="s">
        <v>42</v>
      </c>
      <c r="N18" s="1">
        <v>0.5</v>
      </c>
      <c r="O18" s="1">
        <v>3.5</v>
      </c>
      <c r="P18" s="1">
        <v>4</v>
      </c>
      <c r="Q18" s="1">
        <v>4</v>
      </c>
      <c r="R18" s="1">
        <v>4</v>
      </c>
      <c r="S18" s="1">
        <v>2</v>
      </c>
    </row>
    <row r="19" spans="1:19" ht="15.75" customHeight="1">
      <c r="A19" s="1" t="s">
        <v>145</v>
      </c>
      <c r="B19" s="1" t="s">
        <v>17</v>
      </c>
      <c r="C19" s="1" t="s">
        <v>18</v>
      </c>
      <c r="D19" s="1" t="s">
        <v>104</v>
      </c>
      <c r="E19" s="1" t="s">
        <v>146</v>
      </c>
      <c r="F19" s="1" t="s">
        <v>71</v>
      </c>
      <c r="G19" s="1" t="s">
        <v>147</v>
      </c>
      <c r="K19" s="1" t="s">
        <v>73</v>
      </c>
      <c r="L19" s="1" t="b">
        <v>1</v>
      </c>
      <c r="M19" s="1" t="s">
        <v>42</v>
      </c>
      <c r="N19" s="1" t="s">
        <v>71</v>
      </c>
      <c r="O19" s="1" t="s">
        <v>71</v>
      </c>
      <c r="P19" s="1" t="s">
        <v>71</v>
      </c>
      <c r="Q19" s="1" t="s">
        <v>71</v>
      </c>
      <c r="R19" s="1" t="s">
        <v>71</v>
      </c>
      <c r="S19" s="1" t="s">
        <v>71</v>
      </c>
    </row>
    <row r="20" spans="1:19" ht="15.75" customHeight="1">
      <c r="A20" s="1" t="s">
        <v>148</v>
      </c>
      <c r="B20" s="1" t="s">
        <v>17</v>
      </c>
      <c r="C20" s="1" t="s">
        <v>149</v>
      </c>
      <c r="D20" s="1" t="s">
        <v>150</v>
      </c>
      <c r="E20" s="1" t="s">
        <v>151</v>
      </c>
      <c r="F20" s="1" t="s">
        <v>71</v>
      </c>
      <c r="G20" s="1" t="s">
        <v>152</v>
      </c>
      <c r="K20" s="1" t="s">
        <v>73</v>
      </c>
      <c r="L20" s="1" t="b">
        <v>1</v>
      </c>
      <c r="M20" s="1" t="s">
        <v>42</v>
      </c>
      <c r="N20" s="1" t="s">
        <v>71</v>
      </c>
      <c r="O20" s="1" t="s">
        <v>71</v>
      </c>
      <c r="P20" s="1" t="s">
        <v>71</v>
      </c>
      <c r="Q20" s="1" t="s">
        <v>71</v>
      </c>
      <c r="R20" s="1" t="s">
        <v>71</v>
      </c>
      <c r="S20" s="1" t="s">
        <v>71</v>
      </c>
    </row>
    <row r="21" spans="1:19" ht="15.75" customHeight="1">
      <c r="A21" s="1" t="s">
        <v>153</v>
      </c>
      <c r="B21" s="1" t="s">
        <v>17</v>
      </c>
      <c r="C21" s="1" t="s">
        <v>18</v>
      </c>
      <c r="D21" s="1" t="s">
        <v>154</v>
      </c>
      <c r="E21" s="1" t="s">
        <v>155</v>
      </c>
      <c r="F21" s="1" t="s">
        <v>156</v>
      </c>
      <c r="G21" s="1" t="s">
        <v>157</v>
      </c>
      <c r="H21" s="1" t="s">
        <v>32</v>
      </c>
      <c r="I21" s="1" t="s">
        <v>33</v>
      </c>
      <c r="J21" s="1" t="s">
        <v>110</v>
      </c>
      <c r="K21" s="1" t="s">
        <v>158</v>
      </c>
      <c r="L21" s="1" t="b">
        <v>0</v>
      </c>
      <c r="M21" s="1" t="s">
        <v>26</v>
      </c>
      <c r="N21" s="1">
        <v>4</v>
      </c>
      <c r="O21" s="1">
        <v>3.5</v>
      </c>
      <c r="P21" s="1">
        <v>1.5</v>
      </c>
      <c r="Q21" s="1">
        <v>3</v>
      </c>
      <c r="R21" s="1">
        <v>4</v>
      </c>
      <c r="S21" s="1">
        <v>4.5</v>
      </c>
    </row>
    <row r="22" spans="1:19" ht="15.75" customHeight="1">
      <c r="A22" s="1" t="s">
        <v>159</v>
      </c>
      <c r="B22" s="1" t="s">
        <v>160</v>
      </c>
      <c r="D22" s="1">
        <v>15500</v>
      </c>
      <c r="E22" s="2" t="s">
        <v>161</v>
      </c>
      <c r="F22" s="1" t="s">
        <v>162</v>
      </c>
      <c r="H22" s="1" t="s">
        <v>163</v>
      </c>
      <c r="I22" s="1" t="s">
        <v>164</v>
      </c>
      <c r="J22" s="1" t="s">
        <v>165</v>
      </c>
      <c r="L22" s="1" t="b">
        <v>0</v>
      </c>
      <c r="N22" s="1">
        <v>4</v>
      </c>
      <c r="O22" s="1">
        <v>4</v>
      </c>
      <c r="Q22" s="1">
        <v>3.5</v>
      </c>
      <c r="R22" s="1">
        <v>4.5</v>
      </c>
      <c r="S22" s="1">
        <v>4</v>
      </c>
    </row>
    <row r="23" spans="1:19" ht="15.75" customHeight="1">
      <c r="A23" s="3" t="s">
        <v>166</v>
      </c>
      <c r="B23" s="1" t="s">
        <v>160</v>
      </c>
      <c r="D23" s="1">
        <v>12200</v>
      </c>
      <c r="E23" s="4" t="s">
        <v>167</v>
      </c>
      <c r="F23" s="1" t="s">
        <v>168</v>
      </c>
      <c r="H23" s="1" t="s">
        <v>169</v>
      </c>
      <c r="I23" s="1" t="s">
        <v>170</v>
      </c>
      <c r="J23" s="1" t="s">
        <v>24</v>
      </c>
      <c r="L23" s="1" t="b">
        <v>0</v>
      </c>
    </row>
    <row r="24" spans="1:19" ht="15.75" customHeight="1">
      <c r="A24" s="3" t="s">
        <v>171</v>
      </c>
      <c r="B24" s="1" t="s">
        <v>160</v>
      </c>
      <c r="D24" s="1">
        <v>37000</v>
      </c>
      <c r="E24" s="5" t="s">
        <v>172</v>
      </c>
      <c r="F24" s="1" t="s">
        <v>173</v>
      </c>
      <c r="H24" s="1" t="s">
        <v>174</v>
      </c>
      <c r="I24" s="1" t="s">
        <v>175</v>
      </c>
      <c r="J24" s="1" t="s">
        <v>110</v>
      </c>
      <c r="L24" s="1" t="b">
        <v>0</v>
      </c>
      <c r="N24" s="1">
        <v>4</v>
      </c>
      <c r="O24" s="1">
        <v>4</v>
      </c>
      <c r="Q24" s="1">
        <v>4</v>
      </c>
      <c r="R24" s="1">
        <v>4.5</v>
      </c>
      <c r="S24" s="1">
        <v>4.5</v>
      </c>
    </row>
    <row r="25" spans="1:19" ht="15.75" customHeight="1">
      <c r="A25" s="3" t="s">
        <v>176</v>
      </c>
      <c r="B25" s="1" t="s">
        <v>160</v>
      </c>
      <c r="D25" s="1">
        <v>29500</v>
      </c>
      <c r="E25" s="4" t="s">
        <v>177</v>
      </c>
      <c r="F25" s="1" t="s">
        <v>178</v>
      </c>
      <c r="H25" s="1" t="s">
        <v>174</v>
      </c>
      <c r="I25" s="1" t="s">
        <v>179</v>
      </c>
      <c r="J25" s="1" t="s">
        <v>180</v>
      </c>
      <c r="L25" s="1" t="b">
        <v>0</v>
      </c>
      <c r="N25" s="1">
        <v>4.5</v>
      </c>
      <c r="O25" s="1">
        <v>4</v>
      </c>
      <c r="Q25" s="1">
        <v>4</v>
      </c>
      <c r="R25" s="1">
        <v>4.5</v>
      </c>
      <c r="S25" s="1">
        <v>5</v>
      </c>
    </row>
    <row r="26" spans="1:19" ht="15.75" customHeight="1">
      <c r="A26" s="3" t="s">
        <v>181</v>
      </c>
      <c r="B26" s="1" t="s">
        <v>160</v>
      </c>
      <c r="D26" s="1">
        <v>14500</v>
      </c>
      <c r="E26" s="4" t="s">
        <v>182</v>
      </c>
      <c r="F26" s="1" t="s">
        <v>183</v>
      </c>
      <c r="H26" s="1" t="s">
        <v>169</v>
      </c>
      <c r="I26" s="1" t="s">
        <v>184</v>
      </c>
      <c r="J26" s="1" t="s">
        <v>185</v>
      </c>
      <c r="L26" s="1" t="b">
        <v>1</v>
      </c>
      <c r="N26" s="1">
        <v>4</v>
      </c>
      <c r="O26" s="1">
        <v>4</v>
      </c>
      <c r="Q26" s="1">
        <v>4</v>
      </c>
      <c r="R26" s="1">
        <v>4</v>
      </c>
      <c r="S26" s="1">
        <v>3.5</v>
      </c>
    </row>
    <row r="27" spans="1:19" ht="15.75" customHeight="1">
      <c r="A27" s="3" t="s">
        <v>186</v>
      </c>
      <c r="B27" s="1" t="s">
        <v>160</v>
      </c>
      <c r="D27" s="1">
        <v>14500</v>
      </c>
      <c r="E27" s="4" t="s">
        <v>187</v>
      </c>
      <c r="F27" s="1" t="s">
        <v>188</v>
      </c>
      <c r="H27" s="1" t="s">
        <v>163</v>
      </c>
      <c r="I27" s="1" t="s">
        <v>189</v>
      </c>
      <c r="J27" s="1" t="s">
        <v>165</v>
      </c>
      <c r="L27" s="1" t="b">
        <v>0</v>
      </c>
      <c r="N27" s="1">
        <v>4</v>
      </c>
      <c r="O27" s="1">
        <v>4.5</v>
      </c>
      <c r="Q27" s="1">
        <v>4.5</v>
      </c>
      <c r="R27" s="1">
        <v>4.5</v>
      </c>
      <c r="S27" s="1">
        <v>4</v>
      </c>
    </row>
    <row r="28" spans="1:19" ht="15.75" customHeight="1">
      <c r="A28" s="3" t="s">
        <v>190</v>
      </c>
      <c r="B28" s="1" t="s">
        <v>160</v>
      </c>
      <c r="D28" s="1">
        <v>23500</v>
      </c>
      <c r="E28" s="4" t="s">
        <v>191</v>
      </c>
      <c r="F28" s="1" t="s">
        <v>192</v>
      </c>
      <c r="H28" s="1" t="s">
        <v>193</v>
      </c>
      <c r="I28" s="1" t="s">
        <v>194</v>
      </c>
      <c r="J28" s="1" t="s">
        <v>110</v>
      </c>
      <c r="L28" s="1" t="b">
        <v>0</v>
      </c>
      <c r="N28" s="1">
        <v>3</v>
      </c>
      <c r="O28" s="1">
        <v>4</v>
      </c>
      <c r="Q28" s="1">
        <v>4.5</v>
      </c>
      <c r="R28" s="1">
        <v>4.5</v>
      </c>
      <c r="S28" s="1">
        <v>3</v>
      </c>
    </row>
    <row r="29" spans="1:19" ht="15.75" customHeight="1">
      <c r="A29" s="3" t="s">
        <v>195</v>
      </c>
      <c r="B29" s="1" t="s">
        <v>160</v>
      </c>
      <c r="D29" s="1">
        <v>13000</v>
      </c>
      <c r="E29" s="4" t="s">
        <v>196</v>
      </c>
      <c r="F29" s="1" t="s">
        <v>197</v>
      </c>
      <c r="H29" s="1" t="s">
        <v>198</v>
      </c>
      <c r="I29" s="1" t="s">
        <v>199</v>
      </c>
      <c r="J29" s="1" t="s">
        <v>24</v>
      </c>
      <c r="L29" s="1" t="b">
        <v>0</v>
      </c>
      <c r="N29" s="1">
        <v>3</v>
      </c>
      <c r="O29" s="1">
        <v>4</v>
      </c>
      <c r="Q29" s="1">
        <v>5</v>
      </c>
      <c r="R29" s="1">
        <v>4</v>
      </c>
      <c r="S29" s="1">
        <v>3</v>
      </c>
    </row>
    <row r="30" spans="1:19" ht="15.75" customHeight="1">
      <c r="A30" s="3" t="s">
        <v>200</v>
      </c>
      <c r="B30" s="1" t="s">
        <v>160</v>
      </c>
      <c r="D30" s="1">
        <v>17000</v>
      </c>
      <c r="E30" s="4" t="s">
        <v>201</v>
      </c>
      <c r="H30" s="1" t="s">
        <v>174</v>
      </c>
      <c r="I30" s="1" t="s">
        <v>202</v>
      </c>
      <c r="J30" s="1" t="s">
        <v>203</v>
      </c>
      <c r="L30" s="1" t="b">
        <v>1</v>
      </c>
      <c r="N30" s="1">
        <v>3.5</v>
      </c>
      <c r="O30" s="1">
        <v>4</v>
      </c>
      <c r="Q30" s="1">
        <v>3.5</v>
      </c>
      <c r="R30" s="1">
        <v>4</v>
      </c>
      <c r="S30" s="1">
        <v>4</v>
      </c>
    </row>
    <row r="31" spans="1:19" ht="15.75" customHeight="1">
      <c r="A31" s="3" t="s">
        <v>204</v>
      </c>
      <c r="B31" s="1" t="s">
        <v>160</v>
      </c>
      <c r="D31" s="1">
        <v>13500</v>
      </c>
      <c r="E31" s="4" t="s">
        <v>205</v>
      </c>
      <c r="F31" s="1" t="s">
        <v>206</v>
      </c>
      <c r="H31" s="1" t="s">
        <v>207</v>
      </c>
      <c r="I31" s="1" t="s">
        <v>208</v>
      </c>
      <c r="J31" s="1" t="s">
        <v>24</v>
      </c>
      <c r="L31" s="1" t="b">
        <v>0</v>
      </c>
      <c r="N31" s="1">
        <v>2.5</v>
      </c>
      <c r="O31" s="1">
        <v>3.5</v>
      </c>
      <c r="Q31" s="1">
        <v>4</v>
      </c>
      <c r="R31" s="1">
        <v>4.5</v>
      </c>
      <c r="S31" s="1">
        <v>3</v>
      </c>
    </row>
    <row r="32" spans="1:19" ht="15.75" customHeight="1">
      <c r="A32" s="3" t="s">
        <v>209</v>
      </c>
      <c r="B32" s="1" t="s">
        <v>160</v>
      </c>
      <c r="D32" s="1">
        <v>19500</v>
      </c>
      <c r="E32" s="4" t="s">
        <v>210</v>
      </c>
      <c r="F32" s="1" t="s">
        <v>211</v>
      </c>
      <c r="H32" s="1" t="s">
        <v>174</v>
      </c>
      <c r="I32" s="1" t="s">
        <v>212</v>
      </c>
      <c r="J32" s="1" t="s">
        <v>213</v>
      </c>
      <c r="L32" s="1" t="b">
        <v>0</v>
      </c>
      <c r="N32" s="1">
        <v>4</v>
      </c>
      <c r="O32" s="1">
        <v>3.5</v>
      </c>
      <c r="Q32" s="1">
        <v>3.5</v>
      </c>
      <c r="R32" s="1">
        <v>4.5</v>
      </c>
      <c r="S32" s="1">
        <v>5</v>
      </c>
    </row>
    <row r="33" spans="1:19" ht="15.75" customHeight="1">
      <c r="A33" s="3" t="s">
        <v>214</v>
      </c>
      <c r="B33" s="1" t="s">
        <v>160</v>
      </c>
      <c r="D33" s="1">
        <v>11500</v>
      </c>
      <c r="E33" s="4" t="s">
        <v>215</v>
      </c>
      <c r="F33" s="1" t="s">
        <v>216</v>
      </c>
      <c r="H33" s="1" t="s">
        <v>217</v>
      </c>
      <c r="I33" s="1" t="s">
        <v>218</v>
      </c>
      <c r="J33" s="1" t="s">
        <v>219</v>
      </c>
      <c r="L33" s="1" t="b">
        <v>0</v>
      </c>
      <c r="N33" s="1">
        <v>3</v>
      </c>
      <c r="O33" s="1">
        <v>4</v>
      </c>
      <c r="Q33" s="1">
        <v>5</v>
      </c>
      <c r="R33" s="1">
        <v>4</v>
      </c>
      <c r="S33" s="1">
        <v>3</v>
      </c>
    </row>
    <row r="34" spans="1:19" ht="15.75" customHeight="1">
      <c r="A34" s="3" t="s">
        <v>220</v>
      </c>
      <c r="B34" s="1" t="s">
        <v>160</v>
      </c>
      <c r="D34" s="1">
        <v>11000</v>
      </c>
      <c r="E34" s="4" t="s">
        <v>221</v>
      </c>
      <c r="F34" s="1" t="s">
        <v>222</v>
      </c>
      <c r="H34" s="1" t="s">
        <v>223</v>
      </c>
      <c r="I34" s="1" t="s">
        <v>224</v>
      </c>
      <c r="J34" s="1" t="s">
        <v>225</v>
      </c>
      <c r="L34" s="1" t="b">
        <v>0</v>
      </c>
      <c r="N34" s="1">
        <v>3</v>
      </c>
      <c r="O34" s="1">
        <v>4</v>
      </c>
      <c r="Q34" s="1">
        <v>3.5</v>
      </c>
      <c r="R34" s="1">
        <v>4</v>
      </c>
      <c r="S34" s="1">
        <v>3.5</v>
      </c>
    </row>
    <row r="35" spans="1:19" ht="15.75" customHeight="1">
      <c r="A35" s="3" t="s">
        <v>226</v>
      </c>
      <c r="B35" s="1" t="s">
        <v>160</v>
      </c>
      <c r="D35" s="1">
        <v>23000</v>
      </c>
      <c r="E35" s="4" t="s">
        <v>227</v>
      </c>
      <c r="F35" s="1" t="s">
        <v>228</v>
      </c>
      <c r="H35" s="1" t="s">
        <v>174</v>
      </c>
      <c r="I35" s="1" t="s">
        <v>212</v>
      </c>
      <c r="J35" s="1" t="s">
        <v>213</v>
      </c>
      <c r="L35" s="1" t="b">
        <v>0</v>
      </c>
      <c r="N35" s="1">
        <v>4</v>
      </c>
      <c r="O35" s="1">
        <v>4</v>
      </c>
      <c r="Q35" s="1">
        <v>3.5</v>
      </c>
      <c r="R35" s="1">
        <v>3.5</v>
      </c>
      <c r="S35" s="1">
        <v>4</v>
      </c>
    </row>
    <row r="36" spans="1:19" ht="15.75" customHeight="1">
      <c r="A36" s="3" t="s">
        <v>229</v>
      </c>
      <c r="B36" s="1" t="s">
        <v>160</v>
      </c>
      <c r="D36" s="1">
        <v>19500</v>
      </c>
      <c r="E36" s="4" t="s">
        <v>230</v>
      </c>
      <c r="F36" s="1" t="s">
        <v>231</v>
      </c>
      <c r="H36" s="1" t="s">
        <v>223</v>
      </c>
      <c r="I36" s="1" t="s">
        <v>232</v>
      </c>
      <c r="J36" s="1" t="s">
        <v>233</v>
      </c>
      <c r="L36" s="1" t="b">
        <v>0</v>
      </c>
      <c r="N36" s="1">
        <v>3.5</v>
      </c>
      <c r="O36" s="1">
        <v>3</v>
      </c>
      <c r="Q36" s="1">
        <v>3</v>
      </c>
      <c r="R36" s="1">
        <v>3.5</v>
      </c>
      <c r="S36" s="1">
        <v>4</v>
      </c>
    </row>
    <row r="37" spans="1:19" ht="15.75" customHeight="1">
      <c r="A37" s="3" t="s">
        <v>234</v>
      </c>
      <c r="B37" s="1" t="s">
        <v>160</v>
      </c>
      <c r="D37" s="1">
        <v>14500</v>
      </c>
      <c r="E37" s="4" t="s">
        <v>235</v>
      </c>
      <c r="F37" s="1" t="s">
        <v>236</v>
      </c>
      <c r="H37" s="1" t="s">
        <v>174</v>
      </c>
      <c r="I37" s="1" t="s">
        <v>237</v>
      </c>
      <c r="J37" s="1" t="s">
        <v>24</v>
      </c>
      <c r="L37" s="1" t="b">
        <v>0</v>
      </c>
      <c r="N37" s="1">
        <v>3.5</v>
      </c>
      <c r="O37" s="1">
        <v>4</v>
      </c>
      <c r="Q37" s="1">
        <v>4</v>
      </c>
      <c r="R37" s="1">
        <v>4</v>
      </c>
      <c r="S37" s="1">
        <v>3.5</v>
      </c>
    </row>
    <row r="38" spans="1:19" ht="15.75" customHeight="1">
      <c r="A38" s="3" t="s">
        <v>238</v>
      </c>
      <c r="B38" s="1" t="s">
        <v>160</v>
      </c>
      <c r="D38" s="1">
        <v>35000</v>
      </c>
      <c r="E38" s="4" t="s">
        <v>239</v>
      </c>
      <c r="F38" s="1" t="s">
        <v>240</v>
      </c>
      <c r="H38" s="1" t="s">
        <v>174</v>
      </c>
      <c r="I38" s="1" t="s">
        <v>241</v>
      </c>
      <c r="J38" s="1" t="s">
        <v>213</v>
      </c>
      <c r="L38" s="1" t="b">
        <v>0</v>
      </c>
      <c r="N38" s="1">
        <v>4.5</v>
      </c>
      <c r="O38" s="1">
        <v>4</v>
      </c>
      <c r="Q38" s="1">
        <v>4</v>
      </c>
      <c r="R38" s="1">
        <v>4</v>
      </c>
      <c r="S38" s="1">
        <v>5</v>
      </c>
    </row>
    <row r="39" spans="1:19" ht="15.75" customHeight="1">
      <c r="A39" s="3" t="s">
        <v>242</v>
      </c>
      <c r="B39" s="1" t="s">
        <v>160</v>
      </c>
      <c r="D39" s="1">
        <v>11500</v>
      </c>
      <c r="E39" s="4" t="s">
        <v>243</v>
      </c>
      <c r="F39" s="1" t="s">
        <v>244</v>
      </c>
      <c r="H39" s="1" t="s">
        <v>245</v>
      </c>
      <c r="I39" s="1" t="s">
        <v>246</v>
      </c>
      <c r="J39" s="1" t="s">
        <v>24</v>
      </c>
      <c r="L39" s="1" t="b">
        <v>0</v>
      </c>
      <c r="N39" s="1">
        <v>3</v>
      </c>
      <c r="O39" s="1">
        <v>4</v>
      </c>
      <c r="Q39" s="1">
        <v>4</v>
      </c>
      <c r="R39" s="1">
        <v>4</v>
      </c>
      <c r="S39" s="1">
        <v>3</v>
      </c>
    </row>
    <row r="40" spans="1:19" ht="15.75" customHeight="1">
      <c r="A40" s="3" t="s">
        <v>247</v>
      </c>
      <c r="B40" s="1" t="s">
        <v>160</v>
      </c>
      <c r="D40" s="1">
        <v>85000</v>
      </c>
      <c r="E40" s="4" t="s">
        <v>248</v>
      </c>
      <c r="F40" s="1" t="s">
        <v>249</v>
      </c>
      <c r="H40" s="1" t="s">
        <v>223</v>
      </c>
      <c r="I40" s="1" t="s">
        <v>212</v>
      </c>
      <c r="J40" s="1" t="s">
        <v>110</v>
      </c>
      <c r="L40" s="1" t="b">
        <v>0</v>
      </c>
      <c r="N40" s="1">
        <v>4</v>
      </c>
      <c r="O40" s="1">
        <v>4.5</v>
      </c>
      <c r="Q40" s="1">
        <v>4</v>
      </c>
      <c r="R40" s="1">
        <v>4.5</v>
      </c>
      <c r="S40" s="1">
        <v>3.5</v>
      </c>
    </row>
    <row r="41" spans="1:19" ht="15.75" customHeight="1">
      <c r="A41" s="3" t="s">
        <v>250</v>
      </c>
      <c r="B41" s="1" t="s">
        <v>160</v>
      </c>
      <c r="D41" s="1">
        <v>24500</v>
      </c>
      <c r="E41" s="4" t="s">
        <v>251</v>
      </c>
      <c r="F41" s="1" t="s">
        <v>252</v>
      </c>
      <c r="H41" s="1" t="s">
        <v>174</v>
      </c>
      <c r="I41" s="1" t="s">
        <v>212</v>
      </c>
      <c r="J41" s="1" t="s">
        <v>253</v>
      </c>
      <c r="L41" s="1" t="b">
        <v>0</v>
      </c>
      <c r="N41" s="1">
        <v>4</v>
      </c>
      <c r="O41" s="1">
        <v>4</v>
      </c>
      <c r="Q41" s="1">
        <v>4.5</v>
      </c>
      <c r="R41" s="1">
        <v>4.5</v>
      </c>
      <c r="S41" s="1">
        <v>5</v>
      </c>
    </row>
    <row r="42" spans="1:19" ht="15.75" customHeight="1">
      <c r="A42" s="3" t="s">
        <v>254</v>
      </c>
      <c r="B42" s="1" t="s">
        <v>160</v>
      </c>
      <c r="D42" s="1">
        <v>12500</v>
      </c>
      <c r="E42" s="4" t="s">
        <v>255</v>
      </c>
      <c r="F42" s="1" t="s">
        <v>168</v>
      </c>
      <c r="H42" s="1" t="s">
        <v>169</v>
      </c>
      <c r="I42" s="1" t="s">
        <v>256</v>
      </c>
      <c r="J42" s="1" t="s">
        <v>24</v>
      </c>
      <c r="L42" s="1" t="b">
        <v>0</v>
      </c>
    </row>
    <row r="43" spans="1:19" ht="15.75" customHeight="1">
      <c r="A43" s="3" t="s">
        <v>257</v>
      </c>
      <c r="B43" s="1" t="s">
        <v>160</v>
      </c>
      <c r="D43" s="1">
        <v>13000</v>
      </c>
      <c r="E43" s="4" t="s">
        <v>258</v>
      </c>
      <c r="F43" s="1" t="s">
        <v>259</v>
      </c>
      <c r="H43" s="1" t="s">
        <v>169</v>
      </c>
      <c r="I43" s="1" t="s">
        <v>260</v>
      </c>
      <c r="J43" s="1" t="s">
        <v>110</v>
      </c>
      <c r="L43" s="1" t="b">
        <v>0</v>
      </c>
      <c r="N43" s="1">
        <v>4</v>
      </c>
      <c r="O43" s="1">
        <v>4</v>
      </c>
      <c r="Q43" s="1">
        <v>3.5</v>
      </c>
      <c r="R43" s="1">
        <v>3.5</v>
      </c>
      <c r="S43" s="1">
        <v>4.5</v>
      </c>
    </row>
    <row r="44" spans="1:19" ht="15.75" customHeight="1">
      <c r="A44" s="3" t="s">
        <v>261</v>
      </c>
      <c r="B44" s="1" t="s">
        <v>160</v>
      </c>
      <c r="D44" s="1">
        <v>11000</v>
      </c>
      <c r="E44" s="4" t="s">
        <v>262</v>
      </c>
      <c r="F44" s="1" t="s">
        <v>263</v>
      </c>
      <c r="H44" s="1" t="s">
        <v>169</v>
      </c>
      <c r="I44" s="1" t="s">
        <v>184</v>
      </c>
      <c r="J44" s="1" t="s">
        <v>24</v>
      </c>
      <c r="L44" s="1" t="b">
        <v>0</v>
      </c>
      <c r="N44" s="1">
        <v>4</v>
      </c>
      <c r="O44" s="1">
        <v>3</v>
      </c>
      <c r="Q44" s="1">
        <v>3</v>
      </c>
      <c r="R44" s="1">
        <v>3</v>
      </c>
      <c r="S44" s="1">
        <v>3</v>
      </c>
    </row>
    <row r="45" spans="1:19" ht="15.75" customHeight="1">
      <c r="A45" s="3" t="s">
        <v>264</v>
      </c>
      <c r="B45" s="1" t="s">
        <v>160</v>
      </c>
      <c r="D45" s="1">
        <v>75000</v>
      </c>
      <c r="E45" s="4" t="s">
        <v>265</v>
      </c>
      <c r="F45" s="1" t="s">
        <v>266</v>
      </c>
      <c r="H45" s="1" t="s">
        <v>267</v>
      </c>
      <c r="I45" s="1" t="s">
        <v>241</v>
      </c>
      <c r="J45" s="1" t="s">
        <v>24</v>
      </c>
      <c r="L45" s="1" t="b">
        <v>0</v>
      </c>
      <c r="N45" s="1">
        <v>3</v>
      </c>
      <c r="O45" s="1">
        <v>4.5</v>
      </c>
      <c r="Q45" s="1">
        <v>4</v>
      </c>
      <c r="R45" s="1">
        <v>4.5</v>
      </c>
      <c r="S45" s="1">
        <v>4</v>
      </c>
    </row>
    <row r="46" spans="1:19" ht="15.75" customHeight="1">
      <c r="A46" s="3" t="s">
        <v>268</v>
      </c>
      <c r="B46" s="1" t="s">
        <v>160</v>
      </c>
      <c r="D46" s="1">
        <v>69000</v>
      </c>
      <c r="E46" s="4" t="s">
        <v>269</v>
      </c>
      <c r="F46" s="1" t="s">
        <v>270</v>
      </c>
      <c r="H46" s="1" t="s">
        <v>271</v>
      </c>
      <c r="I46" s="1" t="s">
        <v>199</v>
      </c>
      <c r="J46" s="1" t="s">
        <v>24</v>
      </c>
      <c r="L46" s="1" t="b">
        <v>0</v>
      </c>
      <c r="N46" s="1">
        <v>3.5</v>
      </c>
      <c r="O46" s="1">
        <v>5</v>
      </c>
      <c r="Q46" s="1">
        <v>4</v>
      </c>
      <c r="R46" s="1">
        <v>4</v>
      </c>
      <c r="S46" s="1">
        <v>3</v>
      </c>
    </row>
    <row r="47" spans="1:19" ht="15.75" customHeight="1">
      <c r="A47" s="3" t="s">
        <v>272</v>
      </c>
      <c r="B47" s="1" t="s">
        <v>160</v>
      </c>
      <c r="D47" s="1">
        <v>15500</v>
      </c>
      <c r="E47" s="4" t="s">
        <v>273</v>
      </c>
      <c r="F47" s="1" t="s">
        <v>274</v>
      </c>
      <c r="H47" s="1" t="s">
        <v>174</v>
      </c>
      <c r="I47" s="1" t="s">
        <v>275</v>
      </c>
      <c r="J47" s="1" t="s">
        <v>185</v>
      </c>
      <c r="L47" s="1" t="b">
        <v>1</v>
      </c>
      <c r="N47" s="1">
        <v>3.5</v>
      </c>
      <c r="O47" s="1">
        <v>4</v>
      </c>
      <c r="Q47" s="1">
        <v>4</v>
      </c>
      <c r="R47" s="1">
        <v>4</v>
      </c>
      <c r="S47" s="1">
        <v>4</v>
      </c>
    </row>
    <row r="48" spans="1:19" ht="15.75" customHeight="1">
      <c r="A48" s="3" t="s">
        <v>276</v>
      </c>
      <c r="B48" s="1" t="s">
        <v>160</v>
      </c>
      <c r="D48" s="1">
        <v>12000</v>
      </c>
      <c r="E48" s="4" t="s">
        <v>277</v>
      </c>
      <c r="F48" s="1" t="s">
        <v>278</v>
      </c>
      <c r="H48" s="1" t="s">
        <v>169</v>
      </c>
      <c r="I48" s="1" t="s">
        <v>279</v>
      </c>
      <c r="J48" s="1" t="s">
        <v>24</v>
      </c>
      <c r="L48" s="1" t="b">
        <v>0</v>
      </c>
      <c r="N48" s="1">
        <v>4</v>
      </c>
      <c r="O48" s="1">
        <v>4</v>
      </c>
      <c r="Q48" s="1">
        <v>3.5</v>
      </c>
      <c r="R48" s="1">
        <v>3.5</v>
      </c>
      <c r="S48" s="1">
        <v>4.5</v>
      </c>
    </row>
    <row r="49" spans="1:19" ht="15.75" customHeight="1">
      <c r="A49" s="3" t="s">
        <v>280</v>
      </c>
      <c r="B49" s="1" t="s">
        <v>160</v>
      </c>
      <c r="D49" s="1">
        <v>68000</v>
      </c>
      <c r="E49" s="4" t="s">
        <v>281</v>
      </c>
      <c r="F49" s="1" t="s">
        <v>282</v>
      </c>
      <c r="H49" s="1" t="s">
        <v>283</v>
      </c>
      <c r="I49" s="1" t="s">
        <v>241</v>
      </c>
      <c r="J49" s="1" t="s">
        <v>24</v>
      </c>
      <c r="L49" s="1" t="b">
        <v>0</v>
      </c>
      <c r="N49" s="1">
        <v>4</v>
      </c>
      <c r="O49" s="1">
        <v>4.5</v>
      </c>
      <c r="Q49" s="1">
        <v>3.5</v>
      </c>
      <c r="R49" s="1">
        <v>4.5</v>
      </c>
      <c r="S49" s="1">
        <v>4</v>
      </c>
    </row>
    <row r="50" spans="1:19" ht="15.75" customHeight="1">
      <c r="A50" s="1" t="s">
        <v>284</v>
      </c>
      <c r="B50" s="1" t="s">
        <v>285</v>
      </c>
      <c r="C50" s="1" t="s">
        <v>18</v>
      </c>
      <c r="D50" s="1">
        <v>16300</v>
      </c>
      <c r="E50" s="6" t="s">
        <v>286</v>
      </c>
      <c r="F50" s="1" t="s">
        <v>287</v>
      </c>
      <c r="H50" s="1" t="s">
        <v>288</v>
      </c>
      <c r="N50" s="1">
        <v>2</v>
      </c>
      <c r="Q50" s="1">
        <v>4</v>
      </c>
      <c r="R50" s="1">
        <v>3</v>
      </c>
    </row>
    <row r="51" spans="1:19" ht="15.75" customHeight="1">
      <c r="A51" s="1" t="s">
        <v>289</v>
      </c>
      <c r="B51" s="1" t="s">
        <v>285</v>
      </c>
      <c r="C51" s="1" t="s">
        <v>18</v>
      </c>
      <c r="D51" s="1">
        <v>14800</v>
      </c>
      <c r="E51" s="6" t="s">
        <v>286</v>
      </c>
      <c r="F51" s="1" t="s">
        <v>290</v>
      </c>
      <c r="H51" s="1" t="s">
        <v>174</v>
      </c>
      <c r="N51" s="1">
        <v>2</v>
      </c>
      <c r="Q51" s="1">
        <v>4</v>
      </c>
      <c r="R51" s="1">
        <v>4</v>
      </c>
    </row>
    <row r="52" spans="1:19" ht="15.75" customHeight="1">
      <c r="A52" s="1" t="s">
        <v>291</v>
      </c>
      <c r="B52" s="1" t="s">
        <v>285</v>
      </c>
      <c r="C52" s="1" t="s">
        <v>18</v>
      </c>
      <c r="D52" s="1">
        <v>14400</v>
      </c>
      <c r="E52" s="6" t="s">
        <v>286</v>
      </c>
      <c r="F52" s="1" t="s">
        <v>292</v>
      </c>
      <c r="H52" s="1" t="s">
        <v>163</v>
      </c>
      <c r="N52" s="1">
        <v>3</v>
      </c>
      <c r="Q52" s="1">
        <v>4</v>
      </c>
      <c r="R52" s="1">
        <v>4</v>
      </c>
    </row>
    <row r="53" spans="1:19" ht="15.75" customHeight="1">
      <c r="A53" s="1" t="s">
        <v>293</v>
      </c>
      <c r="B53" s="1" t="s">
        <v>285</v>
      </c>
      <c r="C53" s="1" t="s">
        <v>18</v>
      </c>
      <c r="D53" s="1">
        <v>14700</v>
      </c>
      <c r="E53" s="6" t="s">
        <v>286</v>
      </c>
      <c r="F53" s="1" t="s">
        <v>294</v>
      </c>
      <c r="H53" s="1" t="s">
        <v>295</v>
      </c>
      <c r="N53" s="1">
        <v>1</v>
      </c>
      <c r="Q53" s="1">
        <v>3</v>
      </c>
      <c r="R53" s="1">
        <v>3</v>
      </c>
    </row>
    <row r="54" spans="1:19" ht="15.75" customHeight="1">
      <c r="A54" s="1" t="s">
        <v>296</v>
      </c>
      <c r="B54" s="1" t="s">
        <v>285</v>
      </c>
      <c r="C54" s="1" t="s">
        <v>18</v>
      </c>
      <c r="D54" s="1">
        <v>16300</v>
      </c>
      <c r="E54" s="6" t="s">
        <v>286</v>
      </c>
      <c r="F54" s="1" t="s">
        <v>297</v>
      </c>
      <c r="H54" s="1" t="s">
        <v>169</v>
      </c>
      <c r="N54" s="1">
        <v>3</v>
      </c>
      <c r="Q54" s="1">
        <v>3</v>
      </c>
      <c r="R54" s="1">
        <v>4</v>
      </c>
    </row>
    <row r="55" spans="1:19" ht="15.75" customHeight="1">
      <c r="A55" s="1" t="s">
        <v>298</v>
      </c>
      <c r="B55" s="1" t="s">
        <v>285</v>
      </c>
      <c r="C55" s="1" t="s">
        <v>149</v>
      </c>
      <c r="D55" s="1">
        <v>26200</v>
      </c>
      <c r="E55" s="6" t="s">
        <v>286</v>
      </c>
      <c r="H55" s="1" t="s">
        <v>299</v>
      </c>
    </row>
    <row r="56" spans="1:19" ht="15.75" customHeight="1">
      <c r="A56" s="1" t="s">
        <v>300</v>
      </c>
      <c r="B56" s="1" t="s">
        <v>301</v>
      </c>
      <c r="C56" s="1" t="s">
        <v>136</v>
      </c>
      <c r="D56" s="1">
        <v>32600</v>
      </c>
      <c r="E56" s="6" t="s">
        <v>286</v>
      </c>
      <c r="F56" s="1" t="s">
        <v>302</v>
      </c>
      <c r="G56" s="1" t="s">
        <v>303</v>
      </c>
      <c r="H56" s="1" t="s">
        <v>304</v>
      </c>
      <c r="L56" s="1" t="s">
        <v>305</v>
      </c>
      <c r="M56" s="1" t="s">
        <v>306</v>
      </c>
      <c r="N56" s="1">
        <f>3/10*5</f>
        <v>1.5</v>
      </c>
      <c r="O56" s="1">
        <f>9/10*5</f>
        <v>4.5</v>
      </c>
      <c r="Q56" s="1">
        <f>8/10*5</f>
        <v>4</v>
      </c>
    </row>
    <row r="57" spans="1:19" ht="15.75" customHeight="1">
      <c r="A57" s="1" t="s">
        <v>307</v>
      </c>
      <c r="B57" s="1" t="s">
        <v>301</v>
      </c>
      <c r="C57" s="1" t="s">
        <v>136</v>
      </c>
      <c r="D57" s="1">
        <v>32600</v>
      </c>
      <c r="E57" s="6" t="s">
        <v>286</v>
      </c>
      <c r="F57" s="1" t="s">
        <v>308</v>
      </c>
      <c r="G57" s="1" t="s">
        <v>309</v>
      </c>
      <c r="H57" s="1" t="s">
        <v>310</v>
      </c>
      <c r="L57" s="1" t="s">
        <v>305</v>
      </c>
      <c r="M57" s="1" t="s">
        <v>306</v>
      </c>
      <c r="N57" s="1">
        <f>4/10*5</f>
        <v>2</v>
      </c>
      <c r="O57" s="1">
        <f>9.5/10*5</f>
        <v>4.75</v>
      </c>
      <c r="Q57" s="1">
        <f t="shared" ref="Q57:Q58" si="0">9/10*5</f>
        <v>4.5</v>
      </c>
    </row>
    <row r="58" spans="1:19" ht="15.75" customHeight="1">
      <c r="A58" s="1" t="s">
        <v>311</v>
      </c>
      <c r="B58" s="1" t="s">
        <v>301</v>
      </c>
      <c r="C58" s="1" t="s">
        <v>136</v>
      </c>
      <c r="D58" s="1">
        <v>32600</v>
      </c>
      <c r="E58" s="6" t="s">
        <v>286</v>
      </c>
      <c r="F58" s="1" t="s">
        <v>312</v>
      </c>
      <c r="G58" s="1" t="s">
        <v>313</v>
      </c>
      <c r="H58" s="1" t="s">
        <v>314</v>
      </c>
      <c r="L58" s="1" t="s">
        <v>305</v>
      </c>
      <c r="M58" s="1" t="s">
        <v>306</v>
      </c>
      <c r="N58" s="1">
        <f>7/10*5</f>
        <v>3.5</v>
      </c>
      <c r="O58" s="1">
        <f>10/10*5</f>
        <v>5</v>
      </c>
      <c r="Q58" s="1">
        <f t="shared" si="0"/>
        <v>4.5</v>
      </c>
    </row>
    <row r="59" spans="1:19" ht="15.75" customHeight="1">
      <c r="A59" s="1" t="s">
        <v>315</v>
      </c>
      <c r="B59" s="1" t="s">
        <v>301</v>
      </c>
      <c r="C59" s="1" t="s">
        <v>136</v>
      </c>
      <c r="D59" s="1">
        <v>32600</v>
      </c>
      <c r="E59" s="6" t="s">
        <v>286</v>
      </c>
      <c r="F59" s="1" t="s">
        <v>316</v>
      </c>
      <c r="G59" s="1" t="s">
        <v>317</v>
      </c>
      <c r="H59" s="1" t="s">
        <v>318</v>
      </c>
      <c r="L59" s="1" t="s">
        <v>305</v>
      </c>
      <c r="M59" s="1" t="s">
        <v>306</v>
      </c>
      <c r="N59" s="1">
        <f>8/10*5</f>
        <v>4</v>
      </c>
      <c r="O59" s="1">
        <f>9.5/10*5</f>
        <v>4.75</v>
      </c>
      <c r="Q59" s="1">
        <f>6/10*5</f>
        <v>3</v>
      </c>
    </row>
    <row r="60" spans="1:19" ht="15.75" customHeight="1">
      <c r="A60" s="1" t="s">
        <v>319</v>
      </c>
      <c r="B60" s="1" t="s">
        <v>301</v>
      </c>
      <c r="C60" s="1" t="s">
        <v>136</v>
      </c>
      <c r="D60" s="1">
        <v>32600</v>
      </c>
      <c r="E60" s="6" t="s">
        <v>286</v>
      </c>
      <c r="F60" s="1" t="s">
        <v>320</v>
      </c>
      <c r="G60" s="1" t="s">
        <v>321</v>
      </c>
      <c r="H60" s="1" t="s">
        <v>322</v>
      </c>
      <c r="L60" s="1" t="s">
        <v>305</v>
      </c>
      <c r="M60" s="1" t="s">
        <v>306</v>
      </c>
      <c r="N60" s="1">
        <f t="shared" ref="N60:O60" si="1">9/10*5</f>
        <v>4.5</v>
      </c>
      <c r="O60" s="1">
        <f t="shared" si="1"/>
        <v>4.5</v>
      </c>
      <c r="Q60" s="1">
        <f>7/10*5</f>
        <v>3.5</v>
      </c>
    </row>
    <row r="61" spans="1:19" ht="15.75" customHeight="1">
      <c r="A61" s="1" t="s">
        <v>323</v>
      </c>
      <c r="B61" s="1" t="s">
        <v>324</v>
      </c>
      <c r="C61" s="1" t="s">
        <v>18</v>
      </c>
      <c r="D61" s="1">
        <v>14700</v>
      </c>
      <c r="E61" s="6" t="s">
        <v>286</v>
      </c>
      <c r="F61" s="1" t="s">
        <v>325</v>
      </c>
      <c r="G61" s="1" t="s">
        <v>326</v>
      </c>
      <c r="H61" s="1" t="s">
        <v>327</v>
      </c>
      <c r="L61" s="1" t="s">
        <v>305</v>
      </c>
      <c r="M61" s="1" t="s">
        <v>306</v>
      </c>
      <c r="N61" s="1">
        <v>1</v>
      </c>
      <c r="Q61" s="1">
        <v>4</v>
      </c>
    </row>
    <row r="62" spans="1:19" ht="15.75" customHeight="1">
      <c r="A62" s="1" t="s">
        <v>328</v>
      </c>
      <c r="B62" s="1" t="s">
        <v>324</v>
      </c>
      <c r="C62" s="1" t="s">
        <v>18</v>
      </c>
      <c r="D62" s="1">
        <v>14700</v>
      </c>
      <c r="E62" s="6" t="s">
        <v>286</v>
      </c>
      <c r="F62" s="1" t="s">
        <v>329</v>
      </c>
      <c r="G62" s="1" t="s">
        <v>330</v>
      </c>
      <c r="H62" s="1" t="s">
        <v>331</v>
      </c>
      <c r="L62" s="1" t="s">
        <v>305</v>
      </c>
      <c r="M62" s="1" t="s">
        <v>306</v>
      </c>
      <c r="N62" s="1">
        <v>3</v>
      </c>
      <c r="Q62" s="1">
        <v>4</v>
      </c>
    </row>
    <row r="63" spans="1:19" ht="15.75" customHeight="1">
      <c r="A63" s="1" t="s">
        <v>332</v>
      </c>
      <c r="B63" s="1" t="s">
        <v>324</v>
      </c>
      <c r="C63" s="1" t="s">
        <v>18</v>
      </c>
      <c r="D63" s="1">
        <v>14700</v>
      </c>
      <c r="E63" s="6" t="s">
        <v>286</v>
      </c>
      <c r="F63" s="1" t="s">
        <v>333</v>
      </c>
      <c r="G63" s="1" t="s">
        <v>334</v>
      </c>
      <c r="H63" s="1" t="s">
        <v>335</v>
      </c>
      <c r="L63" s="1" t="s">
        <v>305</v>
      </c>
      <c r="M63" s="1" t="s">
        <v>306</v>
      </c>
      <c r="N63" s="1">
        <v>4</v>
      </c>
      <c r="Q63" s="1">
        <v>3</v>
      </c>
    </row>
    <row r="64" spans="1:19" ht="15.75" customHeight="1">
      <c r="A64" s="1" t="s">
        <v>323</v>
      </c>
      <c r="B64" s="1" t="s">
        <v>324</v>
      </c>
      <c r="C64" s="1" t="s">
        <v>18</v>
      </c>
      <c r="D64" s="1">
        <v>14700</v>
      </c>
      <c r="E64" s="6" t="s">
        <v>286</v>
      </c>
      <c r="F64" s="1" t="s">
        <v>325</v>
      </c>
      <c r="G64" s="1" t="s">
        <v>326</v>
      </c>
      <c r="H64" s="1" t="s">
        <v>327</v>
      </c>
      <c r="L64" s="1" t="s">
        <v>305</v>
      </c>
      <c r="M64" s="1" t="s">
        <v>306</v>
      </c>
      <c r="N64" s="1">
        <v>1</v>
      </c>
      <c r="Q64" s="1">
        <v>4</v>
      </c>
    </row>
    <row r="65" spans="1:17" ht="15.75" customHeight="1">
      <c r="A65" s="1" t="s">
        <v>328</v>
      </c>
      <c r="B65" s="1" t="s">
        <v>324</v>
      </c>
      <c r="C65" s="1" t="s">
        <v>18</v>
      </c>
      <c r="D65" s="1">
        <v>14700</v>
      </c>
      <c r="E65" s="6" t="s">
        <v>286</v>
      </c>
      <c r="F65" s="1" t="s">
        <v>329</v>
      </c>
      <c r="G65" s="1" t="s">
        <v>330</v>
      </c>
      <c r="H65" s="1" t="s">
        <v>331</v>
      </c>
      <c r="L65" s="1" t="s">
        <v>305</v>
      </c>
      <c r="M65" s="1" t="s">
        <v>306</v>
      </c>
      <c r="N65" s="1">
        <v>3</v>
      </c>
      <c r="Q65" s="1">
        <v>4</v>
      </c>
    </row>
    <row r="66" spans="1:17" ht="15.75" customHeight="1">
      <c r="A66" s="1" t="s">
        <v>332</v>
      </c>
      <c r="B66" s="1" t="s">
        <v>324</v>
      </c>
      <c r="C66" s="1" t="s">
        <v>18</v>
      </c>
      <c r="D66" s="1">
        <v>14700</v>
      </c>
      <c r="E66" s="6" t="s">
        <v>286</v>
      </c>
      <c r="F66" s="1" t="s">
        <v>333</v>
      </c>
      <c r="G66" s="1" t="s">
        <v>334</v>
      </c>
      <c r="H66" s="1" t="s">
        <v>335</v>
      </c>
      <c r="L66" s="1" t="s">
        <v>305</v>
      </c>
      <c r="M66" s="1" t="s">
        <v>306</v>
      </c>
      <c r="N66" s="1">
        <v>4</v>
      </c>
      <c r="Q66" s="1">
        <v>3</v>
      </c>
    </row>
    <row r="67" spans="1:17" ht="15.75" customHeight="1">
      <c r="A67" s="1" t="s">
        <v>336</v>
      </c>
      <c r="B67" s="1" t="s">
        <v>324</v>
      </c>
      <c r="C67" s="1" t="s">
        <v>18</v>
      </c>
      <c r="D67" s="1">
        <v>15900</v>
      </c>
      <c r="E67" s="6" t="s">
        <v>286</v>
      </c>
      <c r="F67" s="1" t="s">
        <v>337</v>
      </c>
      <c r="H67" s="1" t="s">
        <v>174</v>
      </c>
      <c r="L67" s="1" t="s">
        <v>305</v>
      </c>
      <c r="M67" s="1" t="s">
        <v>338</v>
      </c>
      <c r="N67" s="1">
        <v>4</v>
      </c>
      <c r="Q67" s="1">
        <v>4</v>
      </c>
    </row>
    <row r="68" spans="1:17" ht="15.75" customHeight="1">
      <c r="A68" s="1" t="s">
        <v>323</v>
      </c>
      <c r="B68" s="1" t="s">
        <v>324</v>
      </c>
      <c r="C68" s="1" t="s">
        <v>136</v>
      </c>
      <c r="D68" s="1">
        <v>41900</v>
      </c>
      <c r="E68" s="6" t="s">
        <v>286</v>
      </c>
      <c r="F68" s="1" t="s">
        <v>325</v>
      </c>
      <c r="G68" s="1" t="s">
        <v>326</v>
      </c>
      <c r="H68" s="1" t="s">
        <v>327</v>
      </c>
      <c r="L68" s="1" t="s">
        <v>305</v>
      </c>
      <c r="M68" s="1" t="s">
        <v>306</v>
      </c>
      <c r="N68" s="1">
        <v>1</v>
      </c>
      <c r="Q68" s="1">
        <v>4</v>
      </c>
    </row>
    <row r="69" spans="1:17" ht="15.75" customHeight="1">
      <c r="A69" s="1" t="s">
        <v>328</v>
      </c>
      <c r="B69" s="1" t="s">
        <v>324</v>
      </c>
      <c r="C69" s="1" t="s">
        <v>136</v>
      </c>
      <c r="D69" s="1">
        <v>41900</v>
      </c>
      <c r="E69" s="6" t="s">
        <v>286</v>
      </c>
      <c r="F69" s="1" t="s">
        <v>329</v>
      </c>
      <c r="G69" s="1" t="s">
        <v>330</v>
      </c>
      <c r="H69" s="1" t="s">
        <v>331</v>
      </c>
      <c r="L69" s="1" t="s">
        <v>305</v>
      </c>
      <c r="M69" s="1" t="s">
        <v>306</v>
      </c>
      <c r="N69" s="1">
        <v>3</v>
      </c>
      <c r="Q69" s="1">
        <v>4</v>
      </c>
    </row>
    <row r="70" spans="1:17" ht="15.75" customHeight="1">
      <c r="A70" s="1" t="s">
        <v>332</v>
      </c>
      <c r="B70" s="1" t="s">
        <v>324</v>
      </c>
      <c r="C70" s="1" t="s">
        <v>136</v>
      </c>
      <c r="D70" s="1">
        <v>41900</v>
      </c>
      <c r="E70" s="6" t="s">
        <v>286</v>
      </c>
      <c r="F70" s="1" t="s">
        <v>333</v>
      </c>
      <c r="G70" s="1" t="s">
        <v>334</v>
      </c>
      <c r="H70" s="1" t="s">
        <v>335</v>
      </c>
      <c r="L70" s="1" t="s">
        <v>305</v>
      </c>
      <c r="M70" s="1" t="s">
        <v>306</v>
      </c>
      <c r="N70" s="1">
        <v>4</v>
      </c>
      <c r="Q70" s="1">
        <v>3</v>
      </c>
    </row>
    <row r="71" spans="1:17" ht="15.75" customHeight="1">
      <c r="A71" s="7" t="s">
        <v>339</v>
      </c>
      <c r="B71" s="1" t="s">
        <v>340</v>
      </c>
      <c r="C71" s="1" t="s">
        <v>18</v>
      </c>
      <c r="D71" s="1">
        <v>16000</v>
      </c>
      <c r="E71" s="8" t="s">
        <v>341</v>
      </c>
      <c r="F71" s="1" t="s">
        <v>342</v>
      </c>
      <c r="G71" s="1" t="s">
        <v>343</v>
      </c>
      <c r="H71" s="1" t="s">
        <v>174</v>
      </c>
      <c r="I71" s="1" t="s">
        <v>212</v>
      </c>
      <c r="J71" s="1" t="s">
        <v>24</v>
      </c>
      <c r="L71" s="1" t="s">
        <v>344</v>
      </c>
      <c r="N71" s="1">
        <v>2</v>
      </c>
      <c r="Q71" s="1">
        <v>3.5</v>
      </c>
    </row>
    <row r="72" spans="1:17" ht="15.75" customHeight="1">
      <c r="A72" s="7" t="s">
        <v>345</v>
      </c>
      <c r="B72" s="1" t="s">
        <v>340</v>
      </c>
      <c r="C72" s="1" t="s">
        <v>18</v>
      </c>
      <c r="D72" s="1">
        <v>16000</v>
      </c>
      <c r="E72" s="8" t="s">
        <v>346</v>
      </c>
      <c r="F72" s="1" t="s">
        <v>347</v>
      </c>
      <c r="G72" s="1" t="s">
        <v>348</v>
      </c>
      <c r="H72" s="1" t="s">
        <v>169</v>
      </c>
      <c r="I72" s="1" t="s">
        <v>349</v>
      </c>
      <c r="J72" s="1" t="s">
        <v>350</v>
      </c>
      <c r="L72" s="1" t="s">
        <v>344</v>
      </c>
      <c r="N72" s="1">
        <v>3</v>
      </c>
      <c r="Q72" s="1">
        <v>2.5</v>
      </c>
    </row>
    <row r="73" spans="1:17" ht="15.75" customHeight="1">
      <c r="A73" s="7" t="s">
        <v>351</v>
      </c>
      <c r="B73" s="1" t="s">
        <v>340</v>
      </c>
      <c r="C73" s="1" t="s">
        <v>18</v>
      </c>
      <c r="D73" s="1">
        <v>15000</v>
      </c>
      <c r="E73" s="8" t="s">
        <v>352</v>
      </c>
      <c r="F73" s="1" t="s">
        <v>353</v>
      </c>
      <c r="G73" s="1" t="s">
        <v>354</v>
      </c>
      <c r="H73" s="1" t="s">
        <v>355</v>
      </c>
      <c r="L73" s="1" t="s">
        <v>356</v>
      </c>
      <c r="M73" s="1" t="s">
        <v>306</v>
      </c>
      <c r="N73" s="1">
        <v>1</v>
      </c>
      <c r="Q73" s="1">
        <v>4</v>
      </c>
    </row>
    <row r="74" spans="1:17" ht="15.75" customHeight="1">
      <c r="A74" s="7" t="s">
        <v>357</v>
      </c>
      <c r="B74" s="1" t="s">
        <v>340</v>
      </c>
      <c r="C74" s="1" t="s">
        <v>18</v>
      </c>
      <c r="D74" s="1">
        <v>16000</v>
      </c>
      <c r="E74" s="8" t="s">
        <v>358</v>
      </c>
      <c r="F74" s="1" t="s">
        <v>359</v>
      </c>
      <c r="G74" s="1" t="s">
        <v>360</v>
      </c>
      <c r="H74" s="1" t="s">
        <v>361</v>
      </c>
      <c r="L74" s="1" t="s">
        <v>356</v>
      </c>
      <c r="M74" s="1" t="s">
        <v>306</v>
      </c>
      <c r="N74" s="1">
        <v>3.5</v>
      </c>
      <c r="Q74" s="1">
        <v>2.5</v>
      </c>
    </row>
    <row r="75" spans="1:17" ht="15.75" customHeight="1">
      <c r="A75" s="7" t="s">
        <v>362</v>
      </c>
      <c r="B75" s="1" t="s">
        <v>340</v>
      </c>
      <c r="C75" s="1" t="s">
        <v>18</v>
      </c>
      <c r="D75" s="1">
        <v>15000</v>
      </c>
      <c r="E75" s="8" t="s">
        <v>363</v>
      </c>
      <c r="F75" s="1" t="s">
        <v>364</v>
      </c>
      <c r="G75" s="1" t="s">
        <v>365</v>
      </c>
      <c r="H75" s="1" t="s">
        <v>366</v>
      </c>
      <c r="L75" s="1" t="s">
        <v>356</v>
      </c>
      <c r="M75" s="1" t="s">
        <v>306</v>
      </c>
      <c r="N75" s="1">
        <v>4</v>
      </c>
      <c r="Q75" s="1">
        <v>2.5</v>
      </c>
    </row>
    <row r="76" spans="1:17" ht="15.75" customHeight="1">
      <c r="A76" s="7" t="s">
        <v>367</v>
      </c>
      <c r="B76" s="1" t="s">
        <v>340</v>
      </c>
      <c r="C76" s="1" t="s">
        <v>18</v>
      </c>
      <c r="D76" s="1">
        <v>15000</v>
      </c>
      <c r="E76" s="8" t="s">
        <v>368</v>
      </c>
      <c r="F76" s="1" t="s">
        <v>369</v>
      </c>
      <c r="G76" s="1" t="s">
        <v>370</v>
      </c>
      <c r="H76" s="1" t="s">
        <v>371</v>
      </c>
      <c r="L76" s="1" t="s">
        <v>356</v>
      </c>
      <c r="M76" s="1" t="s">
        <v>306</v>
      </c>
      <c r="N76" s="1">
        <v>2</v>
      </c>
      <c r="Q76" s="1">
        <v>3.5</v>
      </c>
    </row>
    <row r="77" spans="1:17" ht="15.75" customHeight="1">
      <c r="A77" s="7" t="s">
        <v>372</v>
      </c>
      <c r="B77" s="1" t="s">
        <v>340</v>
      </c>
      <c r="C77" s="1" t="s">
        <v>373</v>
      </c>
      <c r="D77" s="1">
        <v>25000</v>
      </c>
      <c r="E77" s="8" t="s">
        <v>374</v>
      </c>
      <c r="F77" s="1" t="s">
        <v>375</v>
      </c>
      <c r="H77" s="1" t="s">
        <v>376</v>
      </c>
      <c r="I77" s="1" t="s">
        <v>241</v>
      </c>
      <c r="J77" s="1" t="s">
        <v>377</v>
      </c>
      <c r="L77" s="1" t="s">
        <v>356</v>
      </c>
      <c r="N77" s="1">
        <v>2.5</v>
      </c>
      <c r="Q77" s="1">
        <v>2.5</v>
      </c>
    </row>
    <row r="78" spans="1:17" ht="15.75" customHeight="1">
      <c r="A78" s="7" t="s">
        <v>378</v>
      </c>
      <c r="B78" s="1" t="s">
        <v>340</v>
      </c>
      <c r="C78" s="1" t="s">
        <v>373</v>
      </c>
      <c r="D78" s="1">
        <v>23000</v>
      </c>
      <c r="E78" s="8" t="s">
        <v>379</v>
      </c>
      <c r="F78" s="1" t="s">
        <v>380</v>
      </c>
      <c r="H78" s="1" t="s">
        <v>381</v>
      </c>
      <c r="I78" s="1" t="s">
        <v>382</v>
      </c>
      <c r="J78" s="1" t="s">
        <v>383</v>
      </c>
      <c r="L78" s="1" t="s">
        <v>356</v>
      </c>
      <c r="N78" s="1">
        <v>2.5</v>
      </c>
      <c r="Q78" s="1">
        <v>2.5</v>
      </c>
    </row>
    <row r="79" spans="1:17" ht="15.75" customHeight="1">
      <c r="A79" s="7" t="s">
        <v>384</v>
      </c>
      <c r="B79" s="1" t="s">
        <v>340</v>
      </c>
      <c r="C79" s="1" t="s">
        <v>18</v>
      </c>
      <c r="D79" s="1">
        <v>22000</v>
      </c>
      <c r="E79" s="8" t="s">
        <v>385</v>
      </c>
      <c r="F79" s="1" t="s">
        <v>386</v>
      </c>
      <c r="H79" s="1" t="s">
        <v>376</v>
      </c>
      <c r="I79" s="1" t="s">
        <v>212</v>
      </c>
      <c r="J79" s="1" t="s">
        <v>377</v>
      </c>
      <c r="L79" s="1" t="s">
        <v>356</v>
      </c>
      <c r="N79" s="1">
        <v>2.5</v>
      </c>
      <c r="Q79" s="1">
        <v>3</v>
      </c>
    </row>
    <row r="80" spans="1:17" ht="15.75" customHeight="1">
      <c r="A80" s="7" t="s">
        <v>387</v>
      </c>
      <c r="B80" s="1" t="s">
        <v>340</v>
      </c>
      <c r="C80" s="1" t="s">
        <v>373</v>
      </c>
      <c r="D80" s="1">
        <v>23000</v>
      </c>
      <c r="E80" s="8" t="s">
        <v>388</v>
      </c>
      <c r="F80" s="1" t="s">
        <v>389</v>
      </c>
      <c r="H80" s="1" t="s">
        <v>174</v>
      </c>
      <c r="I80" s="1" t="s">
        <v>390</v>
      </c>
      <c r="J80" s="1" t="s">
        <v>110</v>
      </c>
      <c r="L80" s="1" t="s">
        <v>356</v>
      </c>
      <c r="N80" s="1">
        <v>2</v>
      </c>
      <c r="Q80" s="1">
        <v>3</v>
      </c>
    </row>
    <row r="81" spans="1:19" ht="15.75" customHeight="1">
      <c r="A81" s="7" t="s">
        <v>391</v>
      </c>
      <c r="B81" s="1" t="s">
        <v>340</v>
      </c>
      <c r="C81" s="1" t="s">
        <v>18</v>
      </c>
      <c r="D81" s="1">
        <v>28000</v>
      </c>
      <c r="E81" s="8" t="s">
        <v>392</v>
      </c>
      <c r="F81" s="1" t="s">
        <v>393</v>
      </c>
      <c r="H81" s="1" t="s">
        <v>381</v>
      </c>
      <c r="I81" s="1" t="s">
        <v>394</v>
      </c>
      <c r="J81" s="1" t="s">
        <v>24</v>
      </c>
      <c r="L81" s="1" t="s">
        <v>356</v>
      </c>
      <c r="N81" s="1">
        <v>3.5</v>
      </c>
      <c r="Q81" s="1">
        <v>2.5</v>
      </c>
    </row>
    <row r="82" spans="1:19" ht="15.75" customHeight="1">
      <c r="A82" s="7" t="s">
        <v>395</v>
      </c>
      <c r="B82" s="1" t="s">
        <v>340</v>
      </c>
      <c r="C82" s="1" t="s">
        <v>18</v>
      </c>
      <c r="D82" s="1">
        <v>18000</v>
      </c>
      <c r="E82" s="8" t="s">
        <v>396</v>
      </c>
      <c r="F82" s="1" t="s">
        <v>397</v>
      </c>
      <c r="H82" s="1" t="s">
        <v>174</v>
      </c>
      <c r="I82" s="1" t="s">
        <v>398</v>
      </c>
      <c r="J82" s="1" t="s">
        <v>24</v>
      </c>
      <c r="L82" s="1" t="s">
        <v>356</v>
      </c>
      <c r="N82" s="1">
        <v>2.5</v>
      </c>
      <c r="Q82" s="1">
        <v>3</v>
      </c>
    </row>
    <row r="83" spans="1:19" ht="15.75" customHeight="1">
      <c r="A83" s="7" t="s">
        <v>399</v>
      </c>
      <c r="B83" s="1" t="s">
        <v>340</v>
      </c>
      <c r="C83" s="1" t="s">
        <v>18</v>
      </c>
      <c r="D83" s="1">
        <v>17000</v>
      </c>
      <c r="E83" s="8" t="s">
        <v>400</v>
      </c>
      <c r="F83" s="1" t="s">
        <v>401</v>
      </c>
      <c r="H83" s="1" t="s">
        <v>169</v>
      </c>
      <c r="J83" s="1" t="s">
        <v>24</v>
      </c>
      <c r="L83" s="1" t="s">
        <v>356</v>
      </c>
      <c r="N83" s="1">
        <v>3</v>
      </c>
      <c r="Q83" s="1">
        <v>2</v>
      </c>
    </row>
    <row r="84" spans="1:19" ht="15.75" customHeight="1">
      <c r="A84" s="7" t="s">
        <v>402</v>
      </c>
      <c r="B84" s="1" t="s">
        <v>403</v>
      </c>
      <c r="C84" s="1" t="s">
        <v>18</v>
      </c>
      <c r="D84" s="1">
        <v>12600</v>
      </c>
      <c r="E84" s="8" t="s">
        <v>404</v>
      </c>
      <c r="F84" s="9" t="s">
        <v>405</v>
      </c>
      <c r="G84" s="9" t="s">
        <v>406</v>
      </c>
      <c r="H84" s="1" t="s">
        <v>169</v>
      </c>
      <c r="L84" s="1" t="s">
        <v>305</v>
      </c>
      <c r="N84" s="1">
        <v>4.5</v>
      </c>
      <c r="O84" s="1">
        <v>2</v>
      </c>
      <c r="Q84" s="1">
        <v>2</v>
      </c>
      <c r="R84" s="1">
        <v>3.5</v>
      </c>
      <c r="S84" s="1">
        <v>5</v>
      </c>
    </row>
    <row r="85" spans="1:19" ht="15.75" customHeight="1">
      <c r="A85" s="7" t="s">
        <v>407</v>
      </c>
      <c r="B85" s="1" t="s">
        <v>403</v>
      </c>
      <c r="C85" s="1" t="s">
        <v>136</v>
      </c>
      <c r="D85" s="1">
        <v>25800</v>
      </c>
      <c r="E85" s="8" t="s">
        <v>408</v>
      </c>
      <c r="F85" s="9" t="s">
        <v>409</v>
      </c>
      <c r="G85" s="9" t="s">
        <v>410</v>
      </c>
      <c r="H85" s="1" t="s">
        <v>169</v>
      </c>
      <c r="L85" s="1" t="s">
        <v>305</v>
      </c>
      <c r="N85" s="1">
        <v>3.5</v>
      </c>
      <c r="O85" s="1">
        <v>2.5</v>
      </c>
      <c r="Q85" s="1">
        <v>3</v>
      </c>
      <c r="R85" s="1">
        <v>2.5</v>
      </c>
      <c r="S85" s="1">
        <v>3</v>
      </c>
    </row>
    <row r="86" spans="1:19" ht="15.75" customHeight="1">
      <c r="A86" s="7" t="s">
        <v>411</v>
      </c>
      <c r="B86" s="1" t="s">
        <v>403</v>
      </c>
      <c r="C86" s="1" t="s">
        <v>136</v>
      </c>
      <c r="D86" s="1">
        <v>22700</v>
      </c>
      <c r="E86" s="8" t="s">
        <v>412</v>
      </c>
      <c r="F86" s="10" t="s">
        <v>413</v>
      </c>
      <c r="G86" s="11" t="s">
        <v>414</v>
      </c>
      <c r="H86" s="1" t="s">
        <v>295</v>
      </c>
      <c r="I86" s="10" t="s">
        <v>415</v>
      </c>
      <c r="J86" s="10" t="s">
        <v>110</v>
      </c>
      <c r="L86" s="1" t="s">
        <v>305</v>
      </c>
      <c r="N86" s="1">
        <v>0.5</v>
      </c>
      <c r="O86" s="1">
        <v>2</v>
      </c>
      <c r="Q86" s="1">
        <v>4</v>
      </c>
      <c r="R86" s="1">
        <v>3.5</v>
      </c>
      <c r="S86" s="1">
        <v>2.5</v>
      </c>
    </row>
    <row r="87" spans="1:19" ht="15.75" customHeight="1">
      <c r="A87" s="7" t="s">
        <v>416</v>
      </c>
      <c r="B87" s="1" t="s">
        <v>403</v>
      </c>
      <c r="C87" s="1" t="s">
        <v>136</v>
      </c>
      <c r="D87" s="1">
        <v>24300</v>
      </c>
      <c r="E87" s="8" t="s">
        <v>417</v>
      </c>
      <c r="F87" s="12" t="s">
        <v>418</v>
      </c>
      <c r="G87" s="9" t="s">
        <v>419</v>
      </c>
      <c r="H87" s="1" t="s">
        <v>420</v>
      </c>
      <c r="L87" s="1" t="s">
        <v>305</v>
      </c>
      <c r="N87" s="1">
        <v>0.5</v>
      </c>
      <c r="O87" s="1">
        <v>3.5</v>
      </c>
      <c r="Q87" s="1">
        <v>4</v>
      </c>
      <c r="R87" s="1">
        <v>4</v>
      </c>
      <c r="S87" s="1">
        <v>2</v>
      </c>
    </row>
    <row r="88" spans="1:19" ht="15.75" customHeight="1">
      <c r="A88" s="7" t="s">
        <v>421</v>
      </c>
      <c r="B88" s="1" t="s">
        <v>403</v>
      </c>
      <c r="C88" s="1" t="s">
        <v>18</v>
      </c>
      <c r="D88" s="1">
        <v>23000</v>
      </c>
      <c r="E88" s="8" t="s">
        <v>422</v>
      </c>
      <c r="F88" s="9" t="s">
        <v>423</v>
      </c>
      <c r="G88" s="9" t="s">
        <v>424</v>
      </c>
      <c r="H88" s="1" t="s">
        <v>193</v>
      </c>
      <c r="L88" s="1" t="s">
        <v>305</v>
      </c>
      <c r="N88" s="1">
        <v>1.5</v>
      </c>
      <c r="O88" s="1">
        <v>4.5</v>
      </c>
      <c r="Q88" s="1">
        <v>4</v>
      </c>
      <c r="R88" s="1">
        <v>4.5</v>
      </c>
      <c r="S88" s="1">
        <v>3.5</v>
      </c>
    </row>
    <row r="89" spans="1:19" ht="15.75" customHeight="1">
      <c r="A89" s="7" t="s">
        <v>425</v>
      </c>
      <c r="B89" s="1" t="s">
        <v>403</v>
      </c>
      <c r="C89" s="1" t="s">
        <v>18</v>
      </c>
      <c r="D89" s="1">
        <v>9600</v>
      </c>
      <c r="E89" s="8" t="s">
        <v>426</v>
      </c>
      <c r="F89" s="9" t="s">
        <v>427</v>
      </c>
      <c r="G89" s="13" t="s">
        <v>428</v>
      </c>
      <c r="H89" s="1" t="s">
        <v>217</v>
      </c>
      <c r="L89" s="1" t="s">
        <v>305</v>
      </c>
      <c r="N89" s="1">
        <v>0.5</v>
      </c>
      <c r="O89" s="1">
        <v>2</v>
      </c>
      <c r="Q89" s="1">
        <v>5</v>
      </c>
      <c r="R89" s="1">
        <v>4</v>
      </c>
      <c r="S89" s="1">
        <v>2.5</v>
      </c>
    </row>
    <row r="90" spans="1:19" ht="15.75" customHeight="1">
      <c r="A90" s="7" t="s">
        <v>429</v>
      </c>
      <c r="B90" s="1" t="s">
        <v>403</v>
      </c>
      <c r="C90" s="1" t="s">
        <v>18</v>
      </c>
      <c r="D90" s="1">
        <v>8800</v>
      </c>
      <c r="E90" s="8" t="s">
        <v>430</v>
      </c>
      <c r="F90" s="12" t="s">
        <v>418</v>
      </c>
      <c r="G90" s="14" t="s">
        <v>431</v>
      </c>
      <c r="H90" s="1" t="s">
        <v>420</v>
      </c>
      <c r="L90" s="1" t="s">
        <v>305</v>
      </c>
      <c r="N90" s="1">
        <v>0.5</v>
      </c>
      <c r="O90" s="1">
        <v>3.5</v>
      </c>
      <c r="Q90" s="1">
        <v>4</v>
      </c>
      <c r="R90" s="1">
        <v>4</v>
      </c>
      <c r="S90" s="1">
        <v>2</v>
      </c>
    </row>
    <row r="91" spans="1:19" ht="15.75" customHeight="1">
      <c r="A91" s="7" t="s">
        <v>432</v>
      </c>
      <c r="B91" s="1" t="s">
        <v>403</v>
      </c>
      <c r="C91" s="1" t="s">
        <v>18</v>
      </c>
      <c r="D91" s="1">
        <v>10300</v>
      </c>
      <c r="E91" s="8" t="s">
        <v>433</v>
      </c>
      <c r="F91" s="9" t="s">
        <v>434</v>
      </c>
      <c r="G91" s="9" t="s">
        <v>435</v>
      </c>
      <c r="H91" s="1" t="s">
        <v>163</v>
      </c>
      <c r="L91" s="1" t="s">
        <v>305</v>
      </c>
      <c r="N91" s="1">
        <v>1.5</v>
      </c>
      <c r="O91" s="1">
        <v>3.5</v>
      </c>
      <c r="Q91" s="1">
        <v>4.5</v>
      </c>
      <c r="R91" s="1">
        <v>4</v>
      </c>
      <c r="S91" s="1">
        <v>2.5</v>
      </c>
    </row>
    <row r="92" spans="1:19" ht="15.75" customHeight="1">
      <c r="A92" s="7" t="s">
        <v>436</v>
      </c>
      <c r="B92" s="1" t="s">
        <v>403</v>
      </c>
      <c r="C92" s="1" t="s">
        <v>18</v>
      </c>
      <c r="D92" s="1">
        <v>9600</v>
      </c>
      <c r="E92" s="8" t="s">
        <v>437</v>
      </c>
      <c r="F92" s="9" t="s">
        <v>438</v>
      </c>
      <c r="G92" s="9" t="s">
        <v>439</v>
      </c>
      <c r="H92" s="1" t="s">
        <v>207</v>
      </c>
      <c r="L92" s="1" t="s">
        <v>305</v>
      </c>
      <c r="N92" s="1">
        <v>0.5</v>
      </c>
      <c r="O92" s="1">
        <v>3</v>
      </c>
      <c r="Q92" s="1">
        <v>4.5</v>
      </c>
      <c r="R92" s="1">
        <v>4</v>
      </c>
      <c r="S92" s="1">
        <v>3</v>
      </c>
    </row>
    <row r="93" spans="1:19" ht="15.75" customHeight="1">
      <c r="A93" s="7" t="s">
        <v>440</v>
      </c>
      <c r="B93" s="1" t="s">
        <v>403</v>
      </c>
      <c r="C93" s="1" t="s">
        <v>149</v>
      </c>
      <c r="D93" s="1">
        <v>24700</v>
      </c>
      <c r="E93" s="8" t="s">
        <v>441</v>
      </c>
      <c r="F93" s="9" t="s">
        <v>442</v>
      </c>
      <c r="G93" s="15" t="s">
        <v>443</v>
      </c>
      <c r="H93" s="1" t="s">
        <v>366</v>
      </c>
      <c r="L93" s="1" t="s">
        <v>344</v>
      </c>
      <c r="N93" s="1">
        <v>2</v>
      </c>
      <c r="O93" s="1">
        <v>3</v>
      </c>
      <c r="Q93" s="1">
        <v>3</v>
      </c>
      <c r="R93" s="1">
        <v>3</v>
      </c>
      <c r="S93" s="1">
        <v>2</v>
      </c>
    </row>
    <row r="94" spans="1:19" ht="15.75" customHeight="1">
      <c r="A94" s="7" t="s">
        <v>444</v>
      </c>
      <c r="B94" s="1" t="s">
        <v>403</v>
      </c>
      <c r="C94" s="1" t="s">
        <v>149</v>
      </c>
      <c r="D94" s="1">
        <v>29700</v>
      </c>
      <c r="E94" s="8" t="s">
        <v>445</v>
      </c>
      <c r="F94" s="9" t="s">
        <v>446</v>
      </c>
      <c r="G94" s="16" t="s">
        <v>447</v>
      </c>
      <c r="H94" s="7" t="s">
        <v>448</v>
      </c>
      <c r="L94" s="1" t="s">
        <v>344</v>
      </c>
      <c r="N94" s="1">
        <v>1</v>
      </c>
      <c r="O94" s="1">
        <v>3</v>
      </c>
      <c r="Q94" s="1">
        <v>4</v>
      </c>
      <c r="R94" s="1">
        <v>4</v>
      </c>
      <c r="S94" s="1">
        <v>2</v>
      </c>
    </row>
    <row r="95" spans="1:19" ht="15.75" customHeight="1">
      <c r="A95" s="7" t="s">
        <v>449</v>
      </c>
      <c r="B95" s="1" t="s">
        <v>403</v>
      </c>
      <c r="C95" s="1" t="s">
        <v>18</v>
      </c>
      <c r="D95" s="1">
        <v>9700</v>
      </c>
      <c r="E95" s="8" t="s">
        <v>450</v>
      </c>
      <c r="F95" s="9" t="s">
        <v>451</v>
      </c>
      <c r="G95" s="17" t="s">
        <v>452</v>
      </c>
      <c r="H95" s="1" t="s">
        <v>223</v>
      </c>
      <c r="L95" s="1" t="s">
        <v>305</v>
      </c>
      <c r="N95" s="1">
        <v>1.5</v>
      </c>
      <c r="O95" s="1">
        <v>4.5</v>
      </c>
      <c r="Q95" s="1">
        <v>3.5</v>
      </c>
      <c r="R95" s="1">
        <v>4</v>
      </c>
      <c r="S95" s="1">
        <v>3.5</v>
      </c>
    </row>
    <row r="96" spans="1:19" ht="15.75" customHeight="1">
      <c r="A96" s="7" t="s">
        <v>453</v>
      </c>
      <c r="B96" s="1" t="s">
        <v>403</v>
      </c>
      <c r="C96" s="1" t="s">
        <v>18</v>
      </c>
      <c r="D96" s="1">
        <v>13800</v>
      </c>
      <c r="E96" s="8" t="s">
        <v>454</v>
      </c>
      <c r="F96" s="9" t="s">
        <v>455</v>
      </c>
      <c r="G96" s="18" t="s">
        <v>456</v>
      </c>
      <c r="H96" s="1" t="s">
        <v>163</v>
      </c>
      <c r="L96" s="1" t="s">
        <v>305</v>
      </c>
      <c r="N96" s="1">
        <v>2</v>
      </c>
      <c r="O96" s="1">
        <v>4.5</v>
      </c>
      <c r="Q96" s="1">
        <v>4</v>
      </c>
      <c r="R96" s="1">
        <v>4</v>
      </c>
      <c r="S96" s="1">
        <v>3</v>
      </c>
    </row>
    <row r="97" spans="1:19" ht="15.75" customHeight="1">
      <c r="A97" s="7" t="s">
        <v>457</v>
      </c>
      <c r="B97" s="1" t="s">
        <v>403</v>
      </c>
      <c r="C97" s="1" t="s">
        <v>18</v>
      </c>
      <c r="D97" s="1">
        <v>10300</v>
      </c>
      <c r="E97" s="8" t="s">
        <v>458</v>
      </c>
      <c r="F97" s="9" t="s">
        <v>459</v>
      </c>
      <c r="G97" s="18" t="s">
        <v>460</v>
      </c>
      <c r="H97" s="1" t="s">
        <v>461</v>
      </c>
      <c r="L97" s="1" t="s">
        <v>305</v>
      </c>
      <c r="N97" s="1">
        <v>2</v>
      </c>
      <c r="O97" s="1">
        <v>4</v>
      </c>
      <c r="Q97" s="1">
        <v>3.5</v>
      </c>
      <c r="R97" s="1">
        <v>4</v>
      </c>
      <c r="S97" s="1">
        <v>3</v>
      </c>
    </row>
    <row r="98" spans="1:19" ht="15.75" customHeight="1">
      <c r="A98" s="7" t="s">
        <v>462</v>
      </c>
      <c r="B98" s="1" t="s">
        <v>463</v>
      </c>
      <c r="C98" s="1" t="s">
        <v>136</v>
      </c>
      <c r="D98" s="1">
        <v>25100</v>
      </c>
      <c r="E98" s="2" t="s">
        <v>464</v>
      </c>
      <c r="F98" s="1" t="s">
        <v>465</v>
      </c>
      <c r="G98" s="1" t="s">
        <v>466</v>
      </c>
      <c r="H98" s="19" t="s">
        <v>467</v>
      </c>
      <c r="L98" s="1" t="s">
        <v>305</v>
      </c>
      <c r="N98" s="1">
        <v>0.5</v>
      </c>
      <c r="O98" s="1">
        <v>4</v>
      </c>
      <c r="Q98" s="1">
        <v>4.5</v>
      </c>
      <c r="R98" s="1">
        <v>5</v>
      </c>
      <c r="S98" s="1">
        <v>3</v>
      </c>
    </row>
    <row r="99" spans="1:19" ht="15.75" customHeight="1">
      <c r="A99" s="7" t="s">
        <v>468</v>
      </c>
      <c r="B99" s="1" t="s">
        <v>463</v>
      </c>
      <c r="C99" s="1" t="s">
        <v>469</v>
      </c>
      <c r="D99" s="1">
        <v>72900</v>
      </c>
      <c r="E99" s="8" t="s">
        <v>470</v>
      </c>
      <c r="F99" s="1" t="s">
        <v>465</v>
      </c>
      <c r="G99" s="1" t="s">
        <v>466</v>
      </c>
      <c r="H99" s="19" t="s">
        <v>467</v>
      </c>
      <c r="L99" s="1" t="s">
        <v>305</v>
      </c>
      <c r="N99" s="1">
        <v>0.5</v>
      </c>
      <c r="O99" s="1">
        <v>4</v>
      </c>
      <c r="Q99" s="1">
        <v>4.5</v>
      </c>
      <c r="R99" s="1">
        <v>5</v>
      </c>
      <c r="S99" s="1">
        <v>3</v>
      </c>
    </row>
    <row r="100" spans="1:19" ht="15.75" customHeight="1">
      <c r="A100" s="7" t="s">
        <v>471</v>
      </c>
      <c r="B100" s="1" t="s">
        <v>463</v>
      </c>
      <c r="C100" s="1" t="s">
        <v>149</v>
      </c>
      <c r="D100" s="1">
        <v>15100</v>
      </c>
      <c r="E100" s="8" t="s">
        <v>472</v>
      </c>
      <c r="F100" s="1" t="s">
        <v>473</v>
      </c>
      <c r="G100" s="1" t="s">
        <v>474</v>
      </c>
      <c r="H100" s="20" t="s">
        <v>169</v>
      </c>
      <c r="I100" s="20" t="s">
        <v>475</v>
      </c>
      <c r="J100" s="20" t="s">
        <v>476</v>
      </c>
      <c r="L100" s="1" t="s">
        <v>305</v>
      </c>
      <c r="N100" s="1">
        <v>2.5</v>
      </c>
      <c r="O100" s="1">
        <v>4</v>
      </c>
      <c r="Q100" s="1">
        <v>3</v>
      </c>
      <c r="R100" s="1">
        <v>4</v>
      </c>
      <c r="S100" s="1">
        <v>3</v>
      </c>
    </row>
    <row r="101" spans="1:19" ht="15.75" customHeight="1">
      <c r="A101" s="7" t="s">
        <v>477</v>
      </c>
      <c r="B101" s="1" t="s">
        <v>463</v>
      </c>
      <c r="C101" s="1" t="s">
        <v>149</v>
      </c>
      <c r="D101" s="1">
        <v>14900</v>
      </c>
      <c r="E101" s="8" t="s">
        <v>478</v>
      </c>
      <c r="F101" s="1" t="s">
        <v>479</v>
      </c>
      <c r="G101" s="1" t="s">
        <v>480</v>
      </c>
      <c r="H101" s="20" t="s">
        <v>295</v>
      </c>
      <c r="I101" s="10" t="s">
        <v>481</v>
      </c>
      <c r="J101" s="20" t="s">
        <v>476</v>
      </c>
      <c r="L101" s="1" t="s">
        <v>305</v>
      </c>
      <c r="N101" s="1">
        <v>1</v>
      </c>
      <c r="O101" s="1">
        <v>2</v>
      </c>
      <c r="Q101" s="1">
        <v>3</v>
      </c>
      <c r="R101" s="1">
        <v>3</v>
      </c>
      <c r="S101" s="1">
        <v>2</v>
      </c>
    </row>
    <row r="102" spans="1:19" ht="15.75" customHeight="1">
      <c r="A102" s="7" t="s">
        <v>482</v>
      </c>
      <c r="B102" s="1" t="s">
        <v>463</v>
      </c>
      <c r="C102" s="1" t="s">
        <v>149</v>
      </c>
      <c r="D102" s="1">
        <v>24900</v>
      </c>
      <c r="E102" s="8" t="s">
        <v>483</v>
      </c>
      <c r="F102" s="1" t="s">
        <v>484</v>
      </c>
      <c r="G102" s="1" t="s">
        <v>485</v>
      </c>
      <c r="H102" s="1" t="s">
        <v>169</v>
      </c>
      <c r="I102" s="21" t="s">
        <v>475</v>
      </c>
      <c r="J102" s="22" t="s">
        <v>486</v>
      </c>
      <c r="L102" s="1" t="s">
        <v>305</v>
      </c>
      <c r="N102" s="1">
        <v>5</v>
      </c>
      <c r="O102" s="1">
        <v>2.5</v>
      </c>
      <c r="Q102" s="1">
        <v>2</v>
      </c>
      <c r="R102" s="1">
        <v>4.5</v>
      </c>
      <c r="S102" s="1">
        <v>5</v>
      </c>
    </row>
    <row r="103" spans="1:19" ht="15.75" customHeight="1">
      <c r="A103" s="7" t="s">
        <v>487</v>
      </c>
      <c r="B103" s="1" t="s">
        <v>463</v>
      </c>
      <c r="C103" s="1" t="s">
        <v>18</v>
      </c>
      <c r="D103" s="1">
        <v>9900</v>
      </c>
      <c r="E103" s="8" t="s">
        <v>488</v>
      </c>
      <c r="F103" s="1" t="s">
        <v>479</v>
      </c>
      <c r="G103" s="1" t="s">
        <v>480</v>
      </c>
      <c r="H103" s="20" t="s">
        <v>295</v>
      </c>
      <c r="I103" s="10" t="s">
        <v>481</v>
      </c>
      <c r="J103" s="20" t="s">
        <v>476</v>
      </c>
      <c r="L103" s="1" t="s">
        <v>305</v>
      </c>
      <c r="N103" s="1">
        <v>1</v>
      </c>
      <c r="O103" s="1">
        <v>2</v>
      </c>
      <c r="Q103" s="1">
        <v>3</v>
      </c>
      <c r="R103" s="1">
        <v>3</v>
      </c>
      <c r="S103" s="1">
        <v>2</v>
      </c>
    </row>
    <row r="104" spans="1:19" ht="15.75" customHeight="1">
      <c r="A104" s="7" t="s">
        <v>489</v>
      </c>
      <c r="B104" s="1" t="s">
        <v>463</v>
      </c>
      <c r="C104" s="1" t="s">
        <v>18</v>
      </c>
      <c r="D104" s="1">
        <v>13300</v>
      </c>
      <c r="E104" s="8" t="s">
        <v>490</v>
      </c>
      <c r="F104" s="1" t="s">
        <v>484</v>
      </c>
      <c r="G104" s="1" t="s">
        <v>485</v>
      </c>
      <c r="H104" s="20" t="s">
        <v>169</v>
      </c>
      <c r="I104" s="20" t="s">
        <v>475</v>
      </c>
      <c r="J104" s="20" t="s">
        <v>491</v>
      </c>
      <c r="L104" s="1" t="s">
        <v>305</v>
      </c>
      <c r="N104" s="1">
        <v>5</v>
      </c>
      <c r="O104" s="1">
        <v>2.5</v>
      </c>
      <c r="Q104" s="1">
        <v>2</v>
      </c>
      <c r="R104" s="1">
        <v>4.5</v>
      </c>
      <c r="S104" s="1">
        <v>5</v>
      </c>
    </row>
    <row r="105" spans="1:19" ht="15.75" customHeight="1">
      <c r="A105" s="7" t="s">
        <v>492</v>
      </c>
      <c r="B105" s="1" t="s">
        <v>463</v>
      </c>
      <c r="C105" s="1" t="s">
        <v>149</v>
      </c>
      <c r="D105" s="1">
        <v>16500</v>
      </c>
      <c r="E105" s="8" t="s">
        <v>493</v>
      </c>
      <c r="F105" s="1" t="s">
        <v>494</v>
      </c>
      <c r="G105" s="1" t="s">
        <v>495</v>
      </c>
      <c r="H105" s="23" t="s">
        <v>169</v>
      </c>
      <c r="I105" s="21" t="s">
        <v>475</v>
      </c>
      <c r="J105" s="23" t="s">
        <v>496</v>
      </c>
      <c r="L105" s="1" t="s">
        <v>305</v>
      </c>
      <c r="N105" s="1">
        <v>3.5</v>
      </c>
      <c r="O105" s="1">
        <v>2.5</v>
      </c>
      <c r="Q105" s="1">
        <v>3</v>
      </c>
      <c r="R105" s="1">
        <v>2.5</v>
      </c>
      <c r="S105" s="1">
        <v>3</v>
      </c>
    </row>
    <row r="106" spans="1:19" ht="15.75" customHeight="1">
      <c r="A106" s="7" t="s">
        <v>471</v>
      </c>
      <c r="B106" s="1" t="s">
        <v>463</v>
      </c>
      <c r="C106" s="1" t="s">
        <v>149</v>
      </c>
      <c r="D106" s="1">
        <v>15100</v>
      </c>
      <c r="E106" s="8" t="s">
        <v>472</v>
      </c>
      <c r="F106" s="1" t="s">
        <v>473</v>
      </c>
      <c r="G106" s="1" t="s">
        <v>474</v>
      </c>
      <c r="H106" s="20" t="s">
        <v>169</v>
      </c>
      <c r="I106" s="20" t="s">
        <v>475</v>
      </c>
      <c r="J106" s="20" t="s">
        <v>476</v>
      </c>
      <c r="L106" s="1" t="s">
        <v>305</v>
      </c>
      <c r="N106" s="1">
        <v>2.5</v>
      </c>
      <c r="O106" s="1">
        <v>4</v>
      </c>
      <c r="Q106" s="1">
        <v>3</v>
      </c>
      <c r="R106" s="1">
        <v>4</v>
      </c>
      <c r="S106" s="1">
        <v>3</v>
      </c>
    </row>
    <row r="107" spans="1:19" ht="15.75" customHeight="1">
      <c r="A107" s="7" t="s">
        <v>497</v>
      </c>
      <c r="B107" s="1" t="s">
        <v>463</v>
      </c>
      <c r="C107" s="1" t="s">
        <v>149</v>
      </c>
      <c r="D107" s="1">
        <v>17300</v>
      </c>
      <c r="E107" s="8" t="s">
        <v>498</v>
      </c>
      <c r="F107" s="1" t="s">
        <v>499</v>
      </c>
      <c r="G107" s="1" t="s">
        <v>500</v>
      </c>
      <c r="H107" s="23" t="s">
        <v>223</v>
      </c>
      <c r="I107" s="23" t="s">
        <v>501</v>
      </c>
      <c r="J107" s="23" t="s">
        <v>496</v>
      </c>
      <c r="L107" s="1" t="s">
        <v>305</v>
      </c>
      <c r="N107" s="1">
        <v>2</v>
      </c>
      <c r="O107" s="1">
        <v>4.5</v>
      </c>
      <c r="Q107" s="1">
        <v>3.5</v>
      </c>
      <c r="R107" s="1">
        <v>4</v>
      </c>
      <c r="S107" s="1">
        <v>3.5</v>
      </c>
    </row>
    <row r="108" spans="1:19" ht="15.75" customHeight="1">
      <c r="A108" s="7" t="s">
        <v>502</v>
      </c>
      <c r="B108" s="1" t="s">
        <v>463</v>
      </c>
      <c r="C108" s="1" t="s">
        <v>149</v>
      </c>
      <c r="D108" s="1">
        <v>16300</v>
      </c>
      <c r="E108" s="8" t="s">
        <v>503</v>
      </c>
      <c r="F108" s="1" t="s">
        <v>504</v>
      </c>
      <c r="G108" s="1" t="s">
        <v>505</v>
      </c>
      <c r="H108" s="24" t="s">
        <v>506</v>
      </c>
      <c r="L108" s="1" t="s">
        <v>305</v>
      </c>
      <c r="N108" s="1">
        <v>2.5</v>
      </c>
      <c r="O108" s="1">
        <v>3.5</v>
      </c>
      <c r="Q108" s="1">
        <v>3</v>
      </c>
      <c r="R108" s="1">
        <v>4</v>
      </c>
      <c r="S108" s="1">
        <v>3</v>
      </c>
    </row>
    <row r="109" spans="1:19" ht="15.75" customHeight="1">
      <c r="A109" s="7" t="s">
        <v>507</v>
      </c>
      <c r="B109" s="1" t="s">
        <v>463</v>
      </c>
      <c r="C109" s="1" t="s">
        <v>149</v>
      </c>
      <c r="D109" s="1">
        <v>25200</v>
      </c>
      <c r="E109" s="8" t="s">
        <v>508</v>
      </c>
      <c r="F109" s="1" t="s">
        <v>509</v>
      </c>
      <c r="G109" s="1" t="s">
        <v>510</v>
      </c>
      <c r="H109" s="23" t="s">
        <v>169</v>
      </c>
      <c r="I109" s="21" t="s">
        <v>475</v>
      </c>
      <c r="J109" s="23" t="s">
        <v>476</v>
      </c>
      <c r="L109" s="1" t="s">
        <v>305</v>
      </c>
      <c r="N109" s="1">
        <v>4.5</v>
      </c>
      <c r="O109" s="1">
        <v>2</v>
      </c>
      <c r="Q109" s="1">
        <v>2</v>
      </c>
      <c r="R109" s="1">
        <v>4</v>
      </c>
      <c r="S109" s="1">
        <v>5</v>
      </c>
    </row>
    <row r="110" spans="1:19" ht="15.75" customHeight="1">
      <c r="A110" s="7" t="s">
        <v>511</v>
      </c>
      <c r="B110" s="1" t="s">
        <v>463</v>
      </c>
      <c r="C110" s="1" t="s">
        <v>149</v>
      </c>
      <c r="D110" s="1">
        <v>25000</v>
      </c>
      <c r="E110" s="8" t="s">
        <v>512</v>
      </c>
      <c r="F110" s="1" t="s">
        <v>513</v>
      </c>
      <c r="G110" s="1" t="s">
        <v>514</v>
      </c>
      <c r="H110" s="23" t="s">
        <v>169</v>
      </c>
      <c r="L110" s="1" t="s">
        <v>305</v>
      </c>
      <c r="N110" s="1">
        <v>3.5</v>
      </c>
      <c r="O110" s="1">
        <v>2</v>
      </c>
      <c r="Q110" s="1">
        <v>2</v>
      </c>
      <c r="R110" s="1">
        <v>3</v>
      </c>
      <c r="S110" s="1">
        <v>4</v>
      </c>
    </row>
    <row r="111" spans="1:19" ht="15.75" customHeight="1">
      <c r="A111" s="7" t="s">
        <v>515</v>
      </c>
      <c r="B111" s="1" t="s">
        <v>463</v>
      </c>
      <c r="C111" s="1" t="s">
        <v>149</v>
      </c>
      <c r="D111" s="1">
        <v>23500</v>
      </c>
      <c r="E111" s="8" t="s">
        <v>516</v>
      </c>
      <c r="F111" s="1" t="s">
        <v>517</v>
      </c>
      <c r="G111" s="1" t="s">
        <v>518</v>
      </c>
      <c r="H111" s="23" t="s">
        <v>169</v>
      </c>
      <c r="I111" s="21" t="s">
        <v>475</v>
      </c>
      <c r="J111" s="23" t="s">
        <v>476</v>
      </c>
      <c r="L111" s="1" t="s">
        <v>305</v>
      </c>
      <c r="N111" s="1">
        <v>4.5</v>
      </c>
      <c r="O111" s="1">
        <v>2</v>
      </c>
      <c r="Q111" s="1">
        <v>2</v>
      </c>
      <c r="R111" s="1">
        <v>3.5</v>
      </c>
      <c r="S111" s="1">
        <v>5</v>
      </c>
    </row>
    <row r="112" spans="1:19" ht="15.75" customHeight="1">
      <c r="A112" s="7" t="s">
        <v>482</v>
      </c>
      <c r="B112" s="1" t="s">
        <v>463</v>
      </c>
      <c r="C112" s="1" t="s">
        <v>149</v>
      </c>
      <c r="D112" s="1">
        <v>24900</v>
      </c>
      <c r="E112" s="8" t="s">
        <v>483</v>
      </c>
      <c r="F112" s="1" t="s">
        <v>484</v>
      </c>
      <c r="G112" s="1" t="s">
        <v>485</v>
      </c>
      <c r="H112" s="23" t="s">
        <v>169</v>
      </c>
      <c r="I112" s="21" t="s">
        <v>475</v>
      </c>
      <c r="J112" s="22" t="s">
        <v>486</v>
      </c>
      <c r="N112" s="1">
        <v>5</v>
      </c>
      <c r="O112" s="1">
        <v>2.5</v>
      </c>
      <c r="Q112" s="1">
        <v>2</v>
      </c>
      <c r="R112" s="1">
        <v>4.5</v>
      </c>
      <c r="S112" s="1">
        <v>5</v>
      </c>
    </row>
    <row r="113" spans="2:2" ht="15.75" customHeight="1">
      <c r="B113" s="1" t="s">
        <v>463</v>
      </c>
    </row>
    <row r="114" spans="2:2" ht="15.75" customHeight="1"/>
    <row r="115" spans="2:2" ht="15.75" customHeight="1"/>
    <row r="116" spans="2:2" ht="15.75" customHeight="1"/>
    <row r="117" spans="2:2" ht="15.75" customHeight="1"/>
    <row r="118" spans="2:2" ht="15.75" customHeight="1"/>
    <row r="119" spans="2:2" ht="15.75" customHeight="1"/>
    <row r="120" spans="2:2" ht="15.75" customHeight="1"/>
    <row r="121" spans="2:2" ht="15.75" customHeight="1"/>
    <row r="122" spans="2:2" ht="15.75" customHeight="1"/>
    <row r="123" spans="2:2" ht="15.75" customHeight="1"/>
    <row r="124" spans="2:2" ht="15.75" customHeight="1"/>
    <row r="125" spans="2:2" ht="15.75" customHeight="1"/>
    <row r="126" spans="2:2" ht="15.75" customHeight="1"/>
    <row r="127" spans="2:2" ht="15.75" customHeight="1"/>
    <row r="128" spans="2:2"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honeticPr fontId="25" type="noConversion"/>
  <hyperlinks>
    <hyperlink ref="E22" r:id="rId1" xr:uid="{00000000-0004-0000-0000-000000000000}"/>
    <hyperlink ref="E23" r:id="rId2" xr:uid="{00000000-0004-0000-0000-000001000000}"/>
    <hyperlink ref="E24" r:id="rId3" xr:uid="{00000000-0004-0000-0000-000002000000}"/>
    <hyperlink ref="E25" r:id="rId4" xr:uid="{00000000-0004-0000-0000-000003000000}"/>
    <hyperlink ref="E26" r:id="rId5" xr:uid="{00000000-0004-0000-0000-000004000000}"/>
    <hyperlink ref="E27" r:id="rId6" xr:uid="{00000000-0004-0000-0000-000005000000}"/>
    <hyperlink ref="E28" r:id="rId7" xr:uid="{00000000-0004-0000-0000-000006000000}"/>
    <hyperlink ref="E29" r:id="rId8" xr:uid="{00000000-0004-0000-0000-000007000000}"/>
    <hyperlink ref="E30" r:id="rId9" xr:uid="{00000000-0004-0000-0000-000008000000}"/>
    <hyperlink ref="E31" r:id="rId10" xr:uid="{00000000-0004-0000-0000-000009000000}"/>
    <hyperlink ref="E32" r:id="rId11" xr:uid="{00000000-0004-0000-0000-00000A000000}"/>
    <hyperlink ref="E33" r:id="rId12" xr:uid="{00000000-0004-0000-0000-00000B000000}"/>
    <hyperlink ref="E34" r:id="rId13" xr:uid="{00000000-0004-0000-0000-00000C000000}"/>
    <hyperlink ref="E35" r:id="rId14" xr:uid="{00000000-0004-0000-0000-00000D000000}"/>
    <hyperlink ref="E36" r:id="rId15" xr:uid="{00000000-0004-0000-0000-00000E000000}"/>
    <hyperlink ref="E37" r:id="rId16" xr:uid="{00000000-0004-0000-0000-00000F000000}"/>
    <hyperlink ref="E38" r:id="rId17" xr:uid="{00000000-0004-0000-0000-000010000000}"/>
    <hyperlink ref="E39" r:id="rId18" xr:uid="{00000000-0004-0000-0000-000011000000}"/>
    <hyperlink ref="E40" r:id="rId19" xr:uid="{00000000-0004-0000-0000-000012000000}"/>
    <hyperlink ref="E41" r:id="rId20" xr:uid="{00000000-0004-0000-0000-000013000000}"/>
    <hyperlink ref="E42" r:id="rId21" xr:uid="{00000000-0004-0000-0000-000014000000}"/>
    <hyperlink ref="E43" r:id="rId22" xr:uid="{00000000-0004-0000-0000-000015000000}"/>
    <hyperlink ref="E44" r:id="rId23" xr:uid="{00000000-0004-0000-0000-000016000000}"/>
    <hyperlink ref="E45" r:id="rId24" xr:uid="{00000000-0004-0000-0000-000017000000}"/>
    <hyperlink ref="E46" r:id="rId25" xr:uid="{00000000-0004-0000-0000-000018000000}"/>
    <hyperlink ref="E47" r:id="rId26" xr:uid="{00000000-0004-0000-0000-000019000000}"/>
    <hyperlink ref="E48" r:id="rId27" xr:uid="{00000000-0004-0000-0000-00001A000000}"/>
    <hyperlink ref="E49" r:id="rId28" xr:uid="{00000000-0004-0000-0000-00001B000000}"/>
    <hyperlink ref="E50" r:id="rId29" xr:uid="{00000000-0004-0000-0000-00001C000000}"/>
    <hyperlink ref="E51" r:id="rId30" xr:uid="{00000000-0004-0000-0000-00001D000000}"/>
    <hyperlink ref="E52" r:id="rId31" xr:uid="{00000000-0004-0000-0000-00001E000000}"/>
    <hyperlink ref="E53" r:id="rId32" xr:uid="{00000000-0004-0000-0000-00001F000000}"/>
    <hyperlink ref="E54" r:id="rId33" xr:uid="{00000000-0004-0000-0000-000020000000}"/>
    <hyperlink ref="E55" r:id="rId34" xr:uid="{00000000-0004-0000-0000-000021000000}"/>
    <hyperlink ref="E56" r:id="rId35" xr:uid="{00000000-0004-0000-0000-000022000000}"/>
    <hyperlink ref="E57" r:id="rId36" xr:uid="{00000000-0004-0000-0000-000023000000}"/>
    <hyperlink ref="E58" r:id="rId37" xr:uid="{00000000-0004-0000-0000-000024000000}"/>
    <hyperlink ref="E59" r:id="rId38" xr:uid="{00000000-0004-0000-0000-000025000000}"/>
    <hyperlink ref="E60" r:id="rId39" xr:uid="{00000000-0004-0000-0000-000026000000}"/>
    <hyperlink ref="E61" r:id="rId40" xr:uid="{00000000-0004-0000-0000-000027000000}"/>
    <hyperlink ref="E62" r:id="rId41" xr:uid="{00000000-0004-0000-0000-000028000000}"/>
    <hyperlink ref="E63" r:id="rId42" xr:uid="{00000000-0004-0000-0000-000029000000}"/>
    <hyperlink ref="E64" r:id="rId43" xr:uid="{00000000-0004-0000-0000-00002A000000}"/>
    <hyperlink ref="E65" r:id="rId44" xr:uid="{00000000-0004-0000-0000-00002B000000}"/>
    <hyperlink ref="E66" r:id="rId45" xr:uid="{00000000-0004-0000-0000-00002C000000}"/>
    <hyperlink ref="E67" r:id="rId46" xr:uid="{00000000-0004-0000-0000-00002D000000}"/>
    <hyperlink ref="E68" r:id="rId47" xr:uid="{00000000-0004-0000-0000-00002E000000}"/>
    <hyperlink ref="E69" r:id="rId48" xr:uid="{00000000-0004-0000-0000-00002F000000}"/>
    <hyperlink ref="E70" r:id="rId49" xr:uid="{00000000-0004-0000-0000-000030000000}"/>
    <hyperlink ref="E71" r:id="rId50" xr:uid="{00000000-0004-0000-0000-000031000000}"/>
    <hyperlink ref="E72" r:id="rId51" xr:uid="{00000000-0004-0000-0000-000032000000}"/>
    <hyperlink ref="E73" r:id="rId52" xr:uid="{00000000-0004-0000-0000-000033000000}"/>
    <hyperlink ref="E74" r:id="rId53" xr:uid="{00000000-0004-0000-0000-000034000000}"/>
    <hyperlink ref="E75" r:id="rId54" xr:uid="{00000000-0004-0000-0000-000035000000}"/>
    <hyperlink ref="E76" r:id="rId55" xr:uid="{00000000-0004-0000-0000-000036000000}"/>
    <hyperlink ref="E77" r:id="rId56" xr:uid="{00000000-0004-0000-0000-000037000000}"/>
    <hyperlink ref="E78" r:id="rId57" xr:uid="{00000000-0004-0000-0000-000038000000}"/>
    <hyperlink ref="E79" r:id="rId58" xr:uid="{00000000-0004-0000-0000-000039000000}"/>
    <hyperlink ref="E80" r:id="rId59" xr:uid="{00000000-0004-0000-0000-00003A000000}"/>
    <hyperlink ref="E81" r:id="rId60" xr:uid="{00000000-0004-0000-0000-00003B000000}"/>
    <hyperlink ref="E82" r:id="rId61" xr:uid="{00000000-0004-0000-0000-00003C000000}"/>
    <hyperlink ref="E83" r:id="rId62" xr:uid="{00000000-0004-0000-0000-00003D000000}"/>
    <hyperlink ref="E84" r:id="rId63" xr:uid="{00000000-0004-0000-0000-00003E000000}"/>
    <hyperlink ref="E85" r:id="rId64" xr:uid="{00000000-0004-0000-0000-00003F000000}"/>
    <hyperlink ref="E86" r:id="rId65" xr:uid="{00000000-0004-0000-0000-000040000000}"/>
    <hyperlink ref="E87" r:id="rId66" xr:uid="{00000000-0004-0000-0000-000041000000}"/>
    <hyperlink ref="E88" r:id="rId67" xr:uid="{00000000-0004-0000-0000-000042000000}"/>
    <hyperlink ref="E89" r:id="rId68" xr:uid="{00000000-0004-0000-0000-000043000000}"/>
    <hyperlink ref="E90" r:id="rId69" xr:uid="{00000000-0004-0000-0000-000044000000}"/>
    <hyperlink ref="E91" r:id="rId70" xr:uid="{00000000-0004-0000-0000-000045000000}"/>
    <hyperlink ref="E92" r:id="rId71" xr:uid="{00000000-0004-0000-0000-000046000000}"/>
    <hyperlink ref="E93" r:id="rId72" xr:uid="{00000000-0004-0000-0000-000047000000}"/>
    <hyperlink ref="E94" r:id="rId73" xr:uid="{00000000-0004-0000-0000-000048000000}"/>
    <hyperlink ref="E95" r:id="rId74" xr:uid="{00000000-0004-0000-0000-000049000000}"/>
    <hyperlink ref="E96" r:id="rId75" xr:uid="{00000000-0004-0000-0000-00004A000000}"/>
    <hyperlink ref="E97" r:id="rId76" xr:uid="{00000000-0004-0000-0000-00004B000000}"/>
    <hyperlink ref="E98" r:id="rId77" xr:uid="{00000000-0004-0000-0000-00004C000000}"/>
    <hyperlink ref="E99" r:id="rId78" xr:uid="{00000000-0004-0000-0000-00004D000000}"/>
    <hyperlink ref="E100" r:id="rId79" xr:uid="{00000000-0004-0000-0000-00004E000000}"/>
    <hyperlink ref="E101" r:id="rId80" xr:uid="{00000000-0004-0000-0000-00004F000000}"/>
    <hyperlink ref="E102" r:id="rId81" xr:uid="{00000000-0004-0000-0000-000050000000}"/>
    <hyperlink ref="E103" r:id="rId82" xr:uid="{00000000-0004-0000-0000-000051000000}"/>
    <hyperlink ref="E104" r:id="rId83" xr:uid="{00000000-0004-0000-0000-000052000000}"/>
    <hyperlink ref="E105" r:id="rId84" xr:uid="{00000000-0004-0000-0000-000053000000}"/>
    <hyperlink ref="E106" r:id="rId85" xr:uid="{00000000-0004-0000-0000-000054000000}"/>
    <hyperlink ref="E107" r:id="rId86" xr:uid="{00000000-0004-0000-0000-000055000000}"/>
    <hyperlink ref="E108" r:id="rId87" xr:uid="{00000000-0004-0000-0000-000056000000}"/>
    <hyperlink ref="E109" r:id="rId88" xr:uid="{00000000-0004-0000-0000-000057000000}"/>
    <hyperlink ref="E110" r:id="rId89" xr:uid="{00000000-0004-0000-0000-000058000000}"/>
    <hyperlink ref="E111" r:id="rId90" xr:uid="{00000000-0004-0000-0000-000059000000}"/>
    <hyperlink ref="E112" r:id="rId91" xr:uid="{00000000-0004-0000-0000-00005A000000}"/>
  </hyperlinks>
  <pageMargins left="0.69986110925674438" right="0.69986110925674438"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이승재</dc:creator>
  <cp:lastModifiedBy>신채원</cp:lastModifiedBy>
  <dcterms:created xsi:type="dcterms:W3CDTF">2026-05-11T01:36:13Z</dcterms:created>
  <dcterms:modified xsi:type="dcterms:W3CDTF">2026-06-07T03:38:20Z</dcterms:modified>
</cp:coreProperties>
</file>